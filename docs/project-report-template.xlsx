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PATHWAYS\docs\"/>
    </mc:Choice>
  </mc:AlternateContent>
  <xr:revisionPtr revIDLastSave="0" documentId="13_ncr:1_{5F3612C0-D711-406F-8983-D70AE1DC5CAA}" xr6:coauthVersionLast="47" xr6:coauthVersionMax="47" xr10:uidLastSave="{00000000-0000-0000-0000-000000000000}"/>
  <bookViews>
    <workbookView xWindow="-21675" yWindow="1110" windowWidth="20505" windowHeight="13485" xr2:uid="{00000000-000D-0000-FFFF-FFFF00000000}"/>
  </bookViews>
  <sheets>
    <sheet name="Cover" sheetId="1" r:id="rId1"/>
    <sheet name="About" sheetId="2" r:id="rId2"/>
    <sheet name="Contents" sheetId="3" r:id="rId3"/>
    <sheet name="1 Summary" sheetId="4" r:id="rId4"/>
    <sheet name="2 Background" sheetId="5" r:id="rId5"/>
    <sheet name="3 Status" sheetId="6" r:id="rId6"/>
    <sheet name="4 Indicators" sheetId="7" r:id="rId7"/>
    <sheet name="5 Activities" sheetId="8" r:id="rId8"/>
    <sheet name="6 Reach" sheetId="9" r:id="rId9"/>
    <sheet name="7 Assessment" sheetId="10" r:id="rId10"/>
    <sheet name="8 Budget" sheetId="11" r:id="rId11"/>
    <sheet name="9 Evaluation" sheetId="12" r:id="rId12"/>
    <sheet name="10 Risks" sheetId="13" r:id="rId13"/>
    <sheet name="11 Lessons" sheetId="14" r:id="rId14"/>
    <sheet name="A Evidence" sheetId="15" r:id="rId15"/>
    <sheet name="B Data tables" sheetId="16" r:id="rId16"/>
    <sheet name="C Definitions" sheetId="17" r:id="rId17"/>
    <sheet name="Sign-off" sheetId="18" r:id="rId18"/>
    <sheet name="Guide" sheetId="19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9" l="1"/>
  <c r="A1" i="18"/>
  <c r="A1" i="17"/>
  <c r="A2" i="16"/>
  <c r="A1" i="16"/>
  <c r="G10" i="15"/>
  <c r="G9" i="15"/>
  <c r="G8" i="15"/>
  <c r="G7" i="15"/>
  <c r="G6" i="15"/>
  <c r="A2" i="15"/>
  <c r="A1" i="15"/>
  <c r="A1" i="14"/>
  <c r="A1" i="13"/>
  <c r="B11" i="12"/>
  <c r="A13" i="12" s="1"/>
  <c r="E10" i="12"/>
  <c r="E9" i="12"/>
  <c r="E8" i="12"/>
  <c r="E7" i="12"/>
  <c r="E6" i="12"/>
  <c r="E11" i="12" s="1"/>
  <c r="E12" i="12" s="1"/>
  <c r="A1" i="12"/>
  <c r="C11" i="11"/>
  <c r="C10" i="4" s="1"/>
  <c r="B11" i="11"/>
  <c r="E10" i="11"/>
  <c r="D10" i="11"/>
  <c r="E9" i="11"/>
  <c r="D9" i="11"/>
  <c r="E8" i="11"/>
  <c r="D8" i="11"/>
  <c r="E7" i="11"/>
  <c r="D7" i="11"/>
  <c r="E6" i="11"/>
  <c r="D6" i="11"/>
  <c r="F6" i="11" s="1"/>
  <c r="A1" i="11"/>
  <c r="E6" i="10"/>
  <c r="A2" i="10"/>
  <c r="A1" i="10"/>
  <c r="D31" i="9"/>
  <c r="C31" i="9"/>
  <c r="D29" i="9"/>
  <c r="D28" i="9"/>
  <c r="D27" i="9"/>
  <c r="D26" i="9"/>
  <c r="D25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A1" i="9"/>
  <c r="B15" i="8"/>
  <c r="E10" i="8"/>
  <c r="D10" i="8"/>
  <c r="E9" i="8"/>
  <c r="D9" i="8"/>
  <c r="E8" i="8"/>
  <c r="D8" i="8"/>
  <c r="E7" i="8"/>
  <c r="D7" i="8"/>
  <c r="E6" i="8"/>
  <c r="B16" i="8" s="1"/>
  <c r="D6" i="8"/>
  <c r="A1" i="8"/>
  <c r="G11" i="7"/>
  <c r="H11" i="7" s="1"/>
  <c r="H10" i="7"/>
  <c r="H9" i="7"/>
  <c r="H8" i="7"/>
  <c r="H7" i="7"/>
  <c r="H6" i="7"/>
  <c r="A1" i="7"/>
  <c r="A1" i="6"/>
  <c r="B12" i="5"/>
  <c r="B11" i="5"/>
  <c r="B7" i="5"/>
  <c r="B6" i="5"/>
  <c r="A1" i="5"/>
  <c r="B12" i="4"/>
  <c r="C9" i="4"/>
  <c r="A1" i="4"/>
  <c r="A21" i="3"/>
  <c r="A2" i="17" s="1"/>
  <c r="D20" i="3"/>
  <c r="F20" i="3" s="1"/>
  <c r="A20" i="3"/>
  <c r="D19" i="3"/>
  <c r="F19" i="3" s="1"/>
  <c r="A19" i="3"/>
  <c r="D18" i="3"/>
  <c r="F18" i="3" s="1"/>
  <c r="A18" i="3"/>
  <c r="A2" i="14" s="1"/>
  <c r="D17" i="3"/>
  <c r="F17" i="3" s="1"/>
  <c r="A17" i="3"/>
  <c r="A2" i="13" s="1"/>
  <c r="D16" i="3"/>
  <c r="F16" i="3" s="1"/>
  <c r="A16" i="3"/>
  <c r="A2" i="12" s="1"/>
  <c r="D15" i="3"/>
  <c r="F15" i="3" s="1"/>
  <c r="A15" i="3"/>
  <c r="A2" i="11" s="1"/>
  <c r="D14" i="3"/>
  <c r="F14" i="3" s="1"/>
  <c r="A14" i="3"/>
  <c r="D13" i="3"/>
  <c r="F13" i="3" s="1"/>
  <c r="A13" i="3"/>
  <c r="A2" i="9" s="1"/>
  <c r="D12" i="3"/>
  <c r="F12" i="3" s="1"/>
  <c r="A12" i="3"/>
  <c r="A2" i="8" s="1"/>
  <c r="D11" i="3"/>
  <c r="F11" i="3" s="1"/>
  <c r="A11" i="3"/>
  <c r="A2" i="7" s="1"/>
  <c r="D10" i="3"/>
  <c r="F10" i="3" s="1"/>
  <c r="A10" i="3"/>
  <c r="A2" i="6" s="1"/>
  <c r="D9" i="3"/>
  <c r="F9" i="3" s="1"/>
  <c r="A9" i="3"/>
  <c r="A2" i="5" s="1"/>
  <c r="D8" i="3"/>
  <c r="F8" i="3" s="1"/>
  <c r="A8" i="3"/>
  <c r="A2" i="4" s="1"/>
  <c r="A1" i="3"/>
  <c r="B21" i="2"/>
  <c r="B14" i="2"/>
  <c r="A1" i="2"/>
  <c r="C19" i="1"/>
  <c r="B11" i="1"/>
  <c r="B10" i="1"/>
  <c r="B9" i="1"/>
  <c r="B8" i="1"/>
  <c r="D2" i="1"/>
  <c r="F8" i="11" l="1"/>
  <c r="I10" i="7"/>
  <c r="I8" i="7"/>
  <c r="I7" i="7"/>
  <c r="I6" i="7"/>
  <c r="F10" i="11"/>
  <c r="F9" i="11"/>
  <c r="F7" i="11"/>
  <c r="I9" i="7"/>
  <c r="E11" i="11"/>
  <c r="D11" i="11"/>
  <c r="C9" i="6"/>
  <c r="C12" i="4"/>
  <c r="B6" i="6"/>
  <c r="C6" i="6"/>
  <c r="I11" i="7"/>
  <c r="H13" i="7"/>
  <c r="B9" i="6"/>
  <c r="B9" i="4"/>
  <c r="D12" i="4" s="1"/>
  <c r="A14" i="7"/>
  <c r="B8" i="6" l="1"/>
  <c r="I13" i="7"/>
  <c r="F11" i="11"/>
  <c r="B10" i="4"/>
  <c r="B7" i="6"/>
  <c r="B5" i="4" s="1"/>
  <c r="C7" i="6"/>
  <c r="B11" i="4"/>
  <c r="D11" i="4" s="1"/>
  <c r="C8" i="6"/>
  <c r="A15" i="4" l="1"/>
  <c r="D1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PATHWAYS</author>
  </authors>
  <commentList>
    <comment ref="B8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Pick a preset. It sets which sections are required on the Contents sheet.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PATHWAYS</author>
  </authors>
  <commentList>
    <comment ref="G11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Derived: linked to activity completion on 5 Activities.</t>
        </r>
      </text>
    </comment>
  </commentList>
</comments>
</file>

<file path=xl/sharedStrings.xml><?xml version="1.0" encoding="utf-8"?>
<sst xmlns="http://schemas.openxmlformats.org/spreadsheetml/2006/main" count="543" uniqueCount="394">
  <si>
    <t>PATHWAYS</t>
  </si>
  <si>
    <t>Prepared for</t>
  </si>
  <si>
    <t>Programme donor and board of trustees</t>
  </si>
  <si>
    <t>Prepared by</t>
  </si>
  <si>
    <t>M&amp;E Officer, Coastal Livelihoods Project</t>
  </si>
  <si>
    <t>Version</t>
  </si>
  <si>
    <t>v1.0</t>
  </si>
  <si>
    <t>Status</t>
  </si>
  <si>
    <t>Draft</t>
  </si>
  <si>
    <t>Generated</t>
  </si>
  <si>
    <t>Confidentiality</t>
  </si>
  <si>
    <t>Internal</t>
  </si>
  <si>
    <t>Contents and section choices: Contents sheet. How the template works: Guide sheet.</t>
  </si>
  <si>
    <t>About this report</t>
  </si>
  <si>
    <t>Fixed section. Always present. States what the report covers so readers can trust and reuse the numbers.</t>
  </si>
  <si>
    <t>Item</t>
  </si>
  <si>
    <t>Value</t>
  </si>
  <si>
    <t>Organization</t>
  </si>
  <si>
    <t>[Organization name]</t>
  </si>
  <si>
    <t>Project title</t>
  </si>
  <si>
    <t>Coastal Livelihoods Project</t>
  </si>
  <si>
    <t>Project code</t>
  </si>
  <si>
    <t>CLP-2025-03</t>
  </si>
  <si>
    <t>Report preset</t>
  </si>
  <si>
    <t>Midterm</t>
  </si>
  <si>
    <t>Report period start</t>
  </si>
  <si>
    <t>Report period end</t>
  </si>
  <si>
    <t>Data cut-off</t>
  </si>
  <si>
    <t>Project start</t>
  </si>
  <si>
    <t>Project end</t>
  </si>
  <si>
    <t>Timeline elapsed</t>
  </si>
  <si>
    <t>Filter: location</t>
  </si>
  <si>
    <t>All municipalities</t>
  </si>
  <si>
    <t>Filter: indicator types</t>
  </si>
  <si>
    <t>All</t>
  </si>
  <si>
    <t>Filter: beneficiary segment</t>
  </si>
  <si>
    <t>All (aggregates only)</t>
  </si>
  <si>
    <t>Data sources</t>
  </si>
  <si>
    <t>Verified activity updates, indicator measurements, released beneficiary aggregates, approved expenses, signed-off evaluation, approved evidence</t>
  </si>
  <si>
    <t>Privacy</t>
  </si>
  <si>
    <t>Beneficiary figures are aggregates only. Any group under 5 people shows as "Fewer than 5". No names or contact details appear in this report.</t>
  </si>
  <si>
    <t>Sections included</t>
  </si>
  <si>
    <t>Contents</t>
  </si>
  <si>
    <t>Fixed section. Set Include to Yes or No; numbering updates on every section sheet.</t>
  </si>
  <si>
    <t>No.</t>
  </si>
  <si>
    <t>Section</t>
  </si>
  <si>
    <t>Sheet</t>
  </si>
  <si>
    <t>Preset rule</t>
  </si>
  <si>
    <t>Include</t>
  </si>
  <si>
    <t>Check</t>
  </si>
  <si>
    <t>Cover</t>
  </si>
  <si>
    <t>Always</t>
  </si>
  <si>
    <t>Yes</t>
  </si>
  <si>
    <t>About</t>
  </si>
  <si>
    <t>Executive summary</t>
  </si>
  <si>
    <t>1 Summary</t>
  </si>
  <si>
    <t>Project background</t>
  </si>
  <si>
    <t>2 Background</t>
  </si>
  <si>
    <t>Status overview</t>
  </si>
  <si>
    <t>3 Status</t>
  </si>
  <si>
    <t>Results and indicator performance</t>
  </si>
  <si>
    <t>4 Indicators</t>
  </si>
  <si>
    <t>Activities and milestones</t>
  </si>
  <si>
    <t>5 Activities</t>
  </si>
  <si>
    <t>Beneficiary reach</t>
  </si>
  <si>
    <t>6 Reach</t>
  </si>
  <si>
    <t>Survey and assessment results</t>
  </si>
  <si>
    <t>7 Assessment</t>
  </si>
  <si>
    <t>No</t>
  </si>
  <si>
    <t>Financial summary</t>
  </si>
  <si>
    <t>8 Budget</t>
  </si>
  <si>
    <t>Evaluation</t>
  </si>
  <si>
    <t>9 Evaluation</t>
  </si>
  <si>
    <t>Risks, issues and decisions</t>
  </si>
  <si>
    <t>10 Risks</t>
  </si>
  <si>
    <t>Lessons learned and next steps</t>
  </si>
  <si>
    <t>11 Lessons</t>
  </si>
  <si>
    <t>Annex: Means of verification</t>
  </si>
  <si>
    <t>A Evidence</t>
  </si>
  <si>
    <t>Annex: Data tables</t>
  </si>
  <si>
    <t>B Data tables</t>
  </si>
  <si>
    <t>Annex: Definitions and method</t>
  </si>
  <si>
    <t>C Definitions</t>
  </si>
  <si>
    <t>Sign-off</t>
  </si>
  <si>
    <t>Required in every preset. Status and key figures are computed; the summary text is editable.</t>
  </si>
  <si>
    <t>Overall status</t>
  </si>
  <si>
    <t>Worst status across Schedule, Budget, Indicators and Reach</t>
  </si>
  <si>
    <t>Key figures</t>
  </si>
  <si>
    <t>Figure</t>
  </si>
  <si>
    <t>Detail</t>
  </si>
  <si>
    <t>Gap vs timeline</t>
  </si>
  <si>
    <t>Budget used</t>
  </si>
  <si>
    <t>KPI achievement</t>
  </si>
  <si>
    <t>Average progress across indicators</t>
  </si>
  <si>
    <t>Beneficiaries reached</t>
  </si>
  <si>
    <t>Data-drafted summary (computed)</t>
  </si>
  <si>
    <t>Executive summary (editable)</t>
  </si>
  <si>
    <t>[Copy the computed summary above, then add the one achievement and the one risk the reader must know, and what the project will do about the risk.]</t>
  </si>
  <si>
    <t>Auto section with one editable block. Source: project record.</t>
  </si>
  <si>
    <t>Ongoing</t>
  </si>
  <si>
    <t>Sector</t>
  </si>
  <si>
    <t>Livelihoods and economic empowerment</t>
  </si>
  <si>
    <t>Implementation area</t>
  </si>
  <si>
    <t>Borongan, Guiuan, Salcedo and Mercedes, Eastern Samar</t>
  </si>
  <si>
    <t>Start date</t>
  </si>
  <si>
    <t>End date</t>
  </si>
  <si>
    <t>Implementing partners</t>
  </si>
  <si>
    <t>Two municipal LGUs and one cooperative federation</t>
  </si>
  <si>
    <t>Program manager</t>
  </si>
  <si>
    <t>Program Manager (role shown, not name)</t>
  </si>
  <si>
    <t>Target beneficiaries</t>
  </si>
  <si>
    <t>Objectives</t>
  </si>
  <si>
    <t>Increase household income of coastal women through skills training, savings groups and start-up support for small enterprises, so families depend less on seasonal fishing.</t>
  </si>
  <si>
    <t>Auto section. Status is computed by the rules in Annex C; the comment column is editable.</t>
  </si>
  <si>
    <t>Area</t>
  </si>
  <si>
    <t>Basis</t>
  </si>
  <si>
    <t>Comment</t>
  </si>
  <si>
    <t>Schedule</t>
  </si>
  <si>
    <t>Kit procurement batch 2 delayed by supplier stock-out.</t>
  </si>
  <si>
    <t>Budget</t>
  </si>
  <si>
    <t>Spend follows the work plan.</t>
  </si>
  <si>
    <t>Indicators</t>
  </si>
  <si>
    <t>Outcome indicators lag until enterprises mature.</t>
  </si>
  <si>
    <t>Reach</t>
  </si>
  <si>
    <t>Cohort 3 enrolment opens in November.</t>
  </si>
  <si>
    <t>Status rules: Annex C Definitions and method.</t>
  </si>
  <si>
    <t>Auto section. Progress and status are computed; write a variance explanation for every indicator not On track.</t>
  </si>
  <si>
    <t>Code</t>
  </si>
  <si>
    <t>Indicator</t>
  </si>
  <si>
    <t>Type</t>
  </si>
  <si>
    <t>Unit</t>
  </si>
  <si>
    <t>Baseline</t>
  </si>
  <si>
    <t>Target</t>
  </si>
  <si>
    <t>Current</t>
  </si>
  <si>
    <t>Progress</t>
  </si>
  <si>
    <t>Variance explanation</t>
  </si>
  <si>
    <t>OC1</t>
  </si>
  <si>
    <t>Trained women reporting higher monthly household income</t>
  </si>
  <si>
    <t>Outcome</t>
  </si>
  <si>
    <t>percent</t>
  </si>
  <si>
    <t>[Explain the gap and the corrective action with a date.]</t>
  </si>
  <si>
    <t>OC2</t>
  </si>
  <si>
    <t>Women-led enterprises operating 6 months after start-up</t>
  </si>
  <si>
    <t>number</t>
  </si>
  <si>
    <t>OP1</t>
  </si>
  <si>
    <t>Women completing livelihood skills training</t>
  </si>
  <si>
    <t>Output</t>
  </si>
  <si>
    <t>OP2</t>
  </si>
  <si>
    <t>Savings groups formed and registered</t>
  </si>
  <si>
    <t>OP3</t>
  </si>
  <si>
    <t>Start-up kits distributed</t>
  </si>
  <si>
    <t>Batch 2 delayed by a supplier stock-out; 82 kits due for distribution in October.</t>
  </si>
  <si>
    <t>AC1</t>
  </si>
  <si>
    <t>Activity completion (derived)</t>
  </si>
  <si>
    <t>Activity</t>
  </si>
  <si>
    <t>KPI achievement (average indicator progress)</t>
  </si>
  <si>
    <t>Auto section. Status and days overdue are computed against the data cut-off.</t>
  </si>
  <si>
    <t>Milestone</t>
  </si>
  <si>
    <t>Target date</t>
  </si>
  <si>
    <t>Completion date</t>
  </si>
  <si>
    <t>Days overdue</t>
  </si>
  <si>
    <t>Note</t>
  </si>
  <si>
    <t>Baseline survey completed</t>
  </si>
  <si>
    <t>Cohort 1 training completed</t>
  </si>
  <si>
    <t>Savings groups registered with LGU</t>
  </si>
  <si>
    <t>LGU session moved by one week.</t>
  </si>
  <si>
    <t>Start-up kit procurement, batch 2</t>
  </si>
  <si>
    <t>Supplier stock-out; extension approved to 31 Oct 2026.</t>
  </si>
  <si>
    <t>Midterm review workshop</t>
  </si>
  <si>
    <t>Activity summary</t>
  </si>
  <si>
    <t>Activities planned</t>
  </si>
  <si>
    <t>Activities completed</t>
  </si>
  <si>
    <t>Activity completion</t>
  </si>
  <si>
    <t>Longest overdue milestone (days)</t>
  </si>
  <si>
    <t>Delays and extension requests</t>
  </si>
  <si>
    <t>1 overdue explanation filed (kit procurement, supplier stock-out). 1 extension request approved: batch 2 distribution moved to 31 Oct 2026.</t>
  </si>
  <si>
    <t>Source: project milestones, verified activity updates, overdue explanations and extension requests.</t>
  </si>
  <si>
    <t>Auto section, aggregates only. Groups under 5 are suppressed and never shown as zero.</t>
  </si>
  <si>
    <t>Dimension</t>
  </si>
  <si>
    <t>Category</t>
  </si>
  <si>
    <t>People</t>
  </si>
  <si>
    <t>Share</t>
  </si>
  <si>
    <t>Sex</t>
  </si>
  <si>
    <t>Female</t>
  </si>
  <si>
    <t>Male</t>
  </si>
  <si>
    <t>Not recorded</t>
  </si>
  <si>
    <t>Fewer than 5</t>
  </si>
  <si>
    <t>Age</t>
  </si>
  <si>
    <t>18 to 24</t>
  </si>
  <si>
    <t>25 to 39</t>
  </si>
  <si>
    <t>40 to 59</t>
  </si>
  <si>
    <t>60 and over</t>
  </si>
  <si>
    <t>Disability</t>
  </si>
  <si>
    <t>With disability</t>
  </si>
  <si>
    <t>Without disability</t>
  </si>
  <si>
    <t>Location</t>
  </si>
  <si>
    <t>Borongan</t>
  </si>
  <si>
    <t>Guiuan</t>
  </si>
  <si>
    <t>Salcedo</t>
  </si>
  <si>
    <t>Mercedes</t>
  </si>
  <si>
    <t>Total reached</t>
  </si>
  <si>
    <t>Released aggregate</t>
  </si>
  <si>
    <t>Source: released beneficiary aggregates (SADDD). Shares use the released total; suppressed groups are excluded from shares.</t>
  </si>
  <si>
    <t>Journey stage progression</t>
  </si>
  <si>
    <t>Stage</t>
  </si>
  <si>
    <t>Of registered</t>
  </si>
  <si>
    <t>Registered</t>
  </si>
  <si>
    <t>Enrolled</t>
  </si>
  <si>
    <t>Training completed</t>
  </si>
  <si>
    <t>Enterprise started</t>
  </si>
  <si>
    <t>Operating at 6 months</t>
  </si>
  <si>
    <t>Reach against target</t>
  </si>
  <si>
    <t>Conditional section: included only when published assessment results exist for the period.</t>
  </si>
  <si>
    <t>Assessment</t>
  </si>
  <si>
    <t>Matched pairs</t>
  </si>
  <si>
    <t>Pre-test mean</t>
  </si>
  <si>
    <t>Post-test mean</t>
  </si>
  <si>
    <t>Gain (points)</t>
  </si>
  <si>
    <t>Enterprise basics and bookkeeping</t>
  </si>
  <si>
    <t>Source: pre-test and post-test results for participants with both scores.</t>
  </si>
  <si>
    <t>Interpretation</t>
  </si>
  <si>
    <t>[What does the gain mean for the outcome indicators?]</t>
  </si>
  <si>
    <t>Auto section. Spent counts verified and approved expenses only.</t>
  </si>
  <si>
    <t>Approved budget (PHP)</t>
  </si>
  <si>
    <t>Spent (PHP)</t>
  </si>
  <si>
    <t>Used</t>
  </si>
  <si>
    <t>Balance (PHP)</t>
  </si>
  <si>
    <t>Used minus timeline</t>
  </si>
  <si>
    <t>Training and capacity building</t>
  </si>
  <si>
    <t>Start-up kits</t>
  </si>
  <si>
    <t>Personnel</t>
  </si>
  <si>
    <t>Monitoring and evaluation</t>
  </si>
  <si>
    <t>Administration and logistics</t>
  </si>
  <si>
    <t>Total</t>
  </si>
  <si>
    <t>Pending expenses (excluded from Spent)</t>
  </si>
  <si>
    <t>Count</t>
  </si>
  <si>
    <t>Amount (PHP)</t>
  </si>
  <si>
    <t>Source: approved project budget records and expense entries with VERIFIED or APPROVED status.</t>
  </si>
  <si>
    <t>Financial commentary</t>
  </si>
  <si>
    <t>Start-up kit spend is low because batch 2 is delayed; it should reach about 50% once the October distribution is paid. [Note any planned budget realignment.]</t>
  </si>
  <si>
    <t>Conditional section: included only when a signed-off or archived evaluation exists for the period.</t>
  </si>
  <si>
    <t>Criterion</t>
  </si>
  <si>
    <t>Weight</t>
  </si>
  <si>
    <t>Score</t>
  </si>
  <si>
    <t>Maximum</t>
  </si>
  <si>
    <t>Weighted score</t>
  </si>
  <si>
    <t>Timeline compliance</t>
  </si>
  <si>
    <t>Budget efficiency</t>
  </si>
  <si>
    <t>Assessment gain</t>
  </si>
  <si>
    <t>Overall</t>
  </si>
  <si>
    <t>Overall percent</t>
  </si>
  <si>
    <t>Source: midterm evaluation, signed off 30 Sep 2026.</t>
  </si>
  <si>
    <t>Conditional section: open alerts and decisions come from the rules engine; add other risks in the yellow rows.</t>
  </si>
  <si>
    <t>Severity or status</t>
  </si>
  <si>
    <t>Mitigation or next step</t>
  </si>
  <si>
    <t>Alert</t>
  </si>
  <si>
    <t>Start-up kit distribution behind schedule</t>
  </si>
  <si>
    <t>High</t>
  </si>
  <si>
    <t>Local supplier sourced for batch 3.</t>
  </si>
  <si>
    <t>Enterprise survival indicator below trajectory</t>
  </si>
  <si>
    <t>Medium</t>
  </si>
  <si>
    <t>[Mitigation]</t>
  </si>
  <si>
    <t>Decision</t>
  </si>
  <si>
    <t>Source kit batch 3 from a local supplier</t>
  </si>
  <si>
    <t>Approved</t>
  </si>
  <si>
    <t>Contract signed 28 Sep 2026.</t>
  </si>
  <si>
    <t>Add mentoring visits in enterprise months 3 to 6</t>
  </si>
  <si>
    <t>Proposed</t>
  </si>
  <si>
    <t>[Next step]</t>
  </si>
  <si>
    <t>Other risk</t>
  </si>
  <si>
    <t>[Risk not raised by system alerts]</t>
  </si>
  <si>
    <t>[Severity]</t>
  </si>
  <si>
    <t>Source: open rule-based alerts (highest severity first, up to 10) and decision recommendations.</t>
  </si>
  <si>
    <t>Narrative section. All blocks are editable.</t>
  </si>
  <si>
    <t>Challenges</t>
  </si>
  <si>
    <t>[What slowed the project down this period?]</t>
  </si>
  <si>
    <t>Lessons learned</t>
  </si>
  <si>
    <t>Savings groups formed faster where barangay officials co-hosted the first meeting.</t>
  </si>
  <si>
    <t>Recommendations</t>
  </si>
  <si>
    <t>[What should management or the donor change?]</t>
  </si>
  <si>
    <t>Next-period priorities</t>
  </si>
  <si>
    <t>Distribute 82 batch-2 kits by 31 Oct 2026; open Cohort 3 enrolment; start enterprise mentoring visits.</t>
  </si>
  <si>
    <t>Auto annex. Only approved evidence appears; identifying items are listed, never shown as images.</t>
  </si>
  <si>
    <t>Ref</t>
  </si>
  <si>
    <t>Evidence</t>
  </si>
  <si>
    <t>Supports</t>
  </si>
  <si>
    <t>Date</t>
  </si>
  <si>
    <t>Identifying</t>
  </si>
  <si>
    <t>In PDF and DOCX</t>
  </si>
  <si>
    <t>EV-0412</t>
  </si>
  <si>
    <t>Attendance sheets, Cohort 2 training</t>
  </si>
  <si>
    <t>Document</t>
  </si>
  <si>
    <t>EV-0388</t>
  </si>
  <si>
    <t>Savings group registration certificates</t>
  </si>
  <si>
    <t>EV-0455</t>
  </si>
  <si>
    <t>Kit distribution, Guiuan</t>
  </si>
  <si>
    <t>Photo</t>
  </si>
  <si>
    <t>EV-0461</t>
  </si>
  <si>
    <t>Outcome monitoring survey summary</t>
  </si>
  <si>
    <t>EV-0470</t>
  </si>
  <si>
    <t>Enterprise owner at her stall</t>
  </si>
  <si>
    <t>Source: approved evidence media linked to indicators and activities in the report period.</t>
  </si>
  <si>
    <t>Auto annex. PATHWAYS adds the full tables behind each included section here when exporting.</t>
  </si>
  <si>
    <t>- Indicator measurement history (every period value and correction)</t>
  </si>
  <si>
    <t>- All activities with planned and actual dates, progress and beneficiaries per session</t>
  </si>
  <si>
    <t>- Expense totals by month and category</t>
  </si>
  <si>
    <t>- Survey item results (respondents, answered, missing, mean)</t>
  </si>
  <si>
    <t>Fixed annex. Always present.</t>
  </si>
  <si>
    <t>Term</t>
  </si>
  <si>
    <t>Definition</t>
  </si>
  <si>
    <t>Status: Schedule</t>
  </si>
  <si>
    <t>Off track when a milestone is more than 30 days overdue; at risk when any milestone is overdue.</t>
  </si>
  <si>
    <t>Status: Budget</t>
  </si>
  <si>
    <t>Off track above 100% used; at risk when budget used runs more than 15 points ahead of timeline elapsed.</t>
  </si>
  <si>
    <t>Status: Indicators</t>
  </si>
  <si>
    <t>At risk when progress is more than 10 points behind timeline elapsed; off track when more than 25 behind.</t>
  </si>
  <si>
    <t>Status: Reach</t>
  </si>
  <si>
    <t>Same thresholds as Indicators, using reach against target.</t>
  </si>
  <si>
    <t>Days from project start to the data cut-off, divided by the project's total days.</t>
  </si>
  <si>
    <t>(Current - Baseline) / (Target - Baseline).</t>
  </si>
  <si>
    <t>Not available</t>
  </si>
  <si>
    <t>A value could not be computed from verified records. It is never shown as zero.</t>
  </si>
  <si>
    <t>A group too small to report without risk of identifying people.</t>
  </si>
  <si>
    <t>Derived indicator</t>
  </si>
  <si>
    <t>Calculated by PATHWAYS from records, such as activity completion, rather than entered by hand.</t>
  </si>
  <si>
    <t>Editable. Fill in before sharing the final version.</t>
  </si>
  <si>
    <t>Step</t>
  </si>
  <si>
    <t>Name</t>
  </si>
  <si>
    <t>Position</t>
  </si>
  <si>
    <t>Signature</t>
  </si>
  <si>
    <t>Reviewed by</t>
  </si>
  <si>
    <t>Approved by</t>
  </si>
  <si>
    <t>Template guide</t>
  </si>
  <si>
    <t>How this template works. PATHWAYS fills the blue cells when a report is generated; people write in the yellow cells.</t>
  </si>
  <si>
    <t>Cell legend</t>
  </si>
  <si>
    <t>Yellow fill</t>
  </si>
  <si>
    <t>Editable. Write or replace the text; starter text and [prompts] are suggestions.</t>
  </si>
  <si>
    <t>Blue fill</t>
  </si>
  <si>
    <t>System data. Filled by PATHWAYS from verified records at generation; sample values are fictional.</t>
  </si>
  <si>
    <t>No fill</t>
  </si>
  <si>
    <t>Formula or fixed text. Computed from other cells; do not overwrite.</t>
  </si>
  <si>
    <t>Grey italic</t>
  </si>
  <si>
    <t>Fixed wording that must stay, such as definitions and privacy notices.</t>
  </si>
  <si>
    <t>Steps</t>
  </si>
  <si>
    <t>1. On About, pick the report preset, period and filters.</t>
  </si>
  <si>
    <t>2. On Contents, set Include to Yes or No per section. Required sections must stay Yes; the Check column flags mistakes.</t>
  </si>
  <si>
    <t>3. Excluded sections renumber automatically; their sheets show [Not included] and are skipped on export.</t>
  </si>
  <si>
    <t>4. Write the yellow narrative cells, starting with the Executive summary and the variance explanations.</t>
  </si>
  <si>
    <t>5. Never type over a blue or formula cell; regenerate the report in PATHWAYS if the numbers are wrong.</t>
  </si>
  <si>
    <t>Sections by preset</t>
  </si>
  <si>
    <t>Required = locked on. Default = on unless removed. Optional = off unless added. Not offered = hidden in that preset.</t>
  </si>
  <si>
    <t>Evidence (M&amp;E)</t>
  </si>
  <si>
    <t>Quarterly progress</t>
  </si>
  <si>
    <t>Final</t>
  </si>
  <si>
    <t>Donor brief</t>
  </si>
  <si>
    <t>Cover overline</t>
  </si>
  <si>
    <t>MIDTERM REPORT</t>
  </si>
  <si>
    <t>EVIDENCE REPORT</t>
  </si>
  <si>
    <t>QUARTERLY PROGRESS REPORT</t>
  </si>
  <si>
    <t>END-OF-PROJECT REPORT</t>
  </si>
  <si>
    <t>DONOR BRIEF</t>
  </si>
  <si>
    <t>1  Executive summary</t>
  </si>
  <si>
    <t>Required</t>
  </si>
  <si>
    <t>2  Project background</t>
  </si>
  <si>
    <t>Default</t>
  </si>
  <si>
    <t>Optional</t>
  </si>
  <si>
    <t>3  Status overview</t>
  </si>
  <si>
    <t>4  Results and indicator performance</t>
  </si>
  <si>
    <t>5  Activities and milestones</t>
  </si>
  <si>
    <t>6  Beneficiary reach</t>
  </si>
  <si>
    <t>7  Survey and assessment results</t>
  </si>
  <si>
    <t>8  Financial summary</t>
  </si>
  <si>
    <t>9  Evaluation</t>
  </si>
  <si>
    <t>Not offered</t>
  </si>
  <si>
    <t>10  Risks, issues and decisions</t>
  </si>
  <si>
    <t>11  Lessons learned and next steps</t>
  </si>
  <si>
    <t>Annex A  Means of verification</t>
  </si>
  <si>
    <t>Annex B  Data tables</t>
  </si>
  <si>
    <t>Default period</t>
  </si>
  <si>
    <t>Project start to midpoint</t>
  </si>
  <si>
    <t>Last quarter</t>
  </si>
  <si>
    <t>Whole project</t>
  </si>
  <si>
    <t>Project start to report date</t>
  </si>
  <si>
    <t>Always present</t>
  </si>
  <si>
    <t>- Cover, About this report, the Executive summary status and key figures, Annex C Definitions and method, and the Sign-off block.</t>
  </si>
  <si>
    <t>- A section the user has no access to is left out without comment.</t>
  </si>
  <si>
    <t>- A selected section with no records stays in and says so, for example "No milestones in this period."</t>
  </si>
  <si>
    <t>- Groups under 5 people show "Fewer than 5". A missing value shows "Not available", never zero.</t>
  </si>
  <si>
    <t>- Every table carries a source line naming the records and the period.</t>
  </si>
  <si>
    <t>Export formats</t>
  </si>
  <si>
    <t>- PDF: the designed document, one section per heading, charts included.</t>
  </si>
  <si>
    <t>- DOCX: the same headings as Word styles so the contents page and every block can be edited.</t>
  </si>
  <si>
    <t>- XLSX: this workbook, with only the included section sheets.</t>
  </si>
  <si>
    <t>- CSV: one row per value (section, table, item, category, value, unit, metric state, reason).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</si>
</sst>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6" formatCode="d\ mmm\ yyyy"/>
    <numFmt numFmtId="167" formatCode="d\ mmm\ yyyy\,\ hh:mm"/>
    <numFmt numFmtId="168" formatCode="0.0"/>
    <numFmt numFmtId="169" formatCode="\+0.0;\-0.0;0.0"/>
    <numFmt numFmtId="170" formatCode="\+0%;\-0%;0%"/>
  </numFmts>
  <fonts count="20" x14ac:knownFonts="1">
    <font>
      <sz val="11"/>
      <color theme="1"/>
      <name val="Calibri"/>
      <family val="2"/>
      <scheme val="minor"/>
    </font>
    <font>
      <sz val="8"/>
      <color rgb="FF6F7785"/>
      <name val="Arial"/>
    </font>
    <font>
      <b/>
      <sz val="16"/>
      <color rgb="FF00356F"/>
      <name val="Arial"/>
    </font>
    <font>
      <i/>
      <sz val="9"/>
      <color rgb="FF6F7785"/>
      <name val="Arial"/>
    </font>
    <font>
      <b/>
      <sz val="11"/>
      <color rgb="FF00356F"/>
      <name val="Arial"/>
    </font>
    <font>
      <b/>
      <sz val="10"/>
      <name val="Arial"/>
    </font>
    <font>
      <sz val="10"/>
      <name val="Arial"/>
    </font>
    <font>
      <b/>
      <i/>
      <sz val="10"/>
      <color rgb="FF6F7785"/>
      <name val="Arial"/>
    </font>
    <font>
      <b/>
      <sz val="10"/>
      <color rgb="FFFFFFFF"/>
      <name val="Arial"/>
    </font>
    <font>
      <i/>
      <sz val="10"/>
      <color rgb="FF6F7785"/>
      <name val="Arial"/>
    </font>
    <font>
      <sz val="10"/>
      <color rgb="FF000000"/>
      <name val="Arial"/>
    </font>
    <font>
      <b/>
      <sz val="10"/>
      <color rgb="FF00356F"/>
      <name val="Arial"/>
    </font>
    <font>
      <i/>
      <sz val="8"/>
      <color rgb="FF6F7785"/>
      <name val="Arial"/>
    </font>
    <font>
      <b/>
      <sz val="10"/>
      <color rgb="FF000000"/>
      <name val="Arial"/>
    </font>
    <font>
      <sz val="10"/>
      <color rgb="FF6F7785"/>
      <name val="Arial"/>
    </font>
    <font>
      <b/>
      <sz val="11"/>
      <name val="Arial"/>
    </font>
    <font>
      <b/>
      <sz val="12"/>
      <color rgb="FF00356F"/>
      <name val="Arial"/>
    </font>
    <font>
      <b/>
      <sz val="12"/>
      <color rgb="FF005EBF"/>
      <name val="Arial"/>
    </font>
    <font>
      <b/>
      <sz val="28"/>
      <color rgb="FF00356F"/>
      <name val="Arial"/>
    </font>
    <font>
      <sz val="14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4D6"/>
      </patternFill>
    </fill>
    <fill>
      <patternFill patternType="solid">
        <fgColor rgb="FFEAF2FB"/>
      </patternFill>
    </fill>
    <fill>
      <patternFill patternType="solid">
        <fgColor rgb="FF00356F"/>
      </patternFill>
    </fill>
    <fill>
      <patternFill patternType="solid">
        <fgColor rgb="FFF5F6FA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356F"/>
      </bottom>
      <diagonal/>
    </border>
    <border>
      <left style="thin">
        <color rgb="FFDBDFE2"/>
      </left>
      <right style="thin">
        <color rgb="FFDBDFE2"/>
      </right>
      <top style="thin">
        <color rgb="FFDBDFE2"/>
      </top>
      <bottom style="thin">
        <color rgb="FFDBDFE2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6" fillId="0" borderId="0" xfId="0" applyFont="1"/>
    <xf numFmtId="0" fontId="14" fillId="0" borderId="0" xfId="0" applyFont="1" applyAlignment="1">
      <alignment horizontal="right"/>
    </xf>
    <xf numFmtId="0" fontId="0" fillId="0" borderId="1" xfId="0" applyBorder="1"/>
    <xf numFmtId="0" fontId="17" fillId="0" borderId="0" xfId="0" applyFont="1"/>
    <xf numFmtId="0" fontId="19" fillId="0" borderId="0" xfId="0" applyFont="1"/>
    <xf numFmtId="0" fontId="14" fillId="0" borderId="0" xfId="0" applyFont="1"/>
    <xf numFmtId="0" fontId="11" fillId="0" borderId="2" xfId="0" applyFont="1" applyBorder="1"/>
    <xf numFmtId="0" fontId="6" fillId="2" borderId="2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left"/>
    </xf>
    <xf numFmtId="167" fontId="6" fillId="0" borderId="2" xfId="0" applyNumberFormat="1" applyFont="1" applyBorder="1" applyAlignment="1">
      <alignment horizontal="left"/>
    </xf>
    <xf numFmtId="0" fontId="3" fillId="0" borderId="0" xfId="0" applyFont="1"/>
    <xf numFmtId="0" fontId="1" fillId="0" borderId="0" xfId="0" applyFont="1"/>
    <xf numFmtId="0" fontId="2" fillId="0" borderId="1" xfId="0" applyFont="1" applyBorder="1"/>
    <xf numFmtId="0" fontId="8" fillId="4" borderId="2" xfId="0" applyFont="1" applyFill="1" applyBorder="1" applyAlignment="1">
      <alignment vertical="center" wrapText="1"/>
    </xf>
    <xf numFmtId="0" fontId="11" fillId="0" borderId="2" xfId="0" applyFont="1" applyBorder="1" applyAlignment="1">
      <alignment vertical="top" wrapText="1"/>
    </xf>
    <xf numFmtId="0" fontId="10" fillId="2" borderId="2" xfId="0" applyFont="1" applyFill="1" applyBorder="1" applyAlignment="1">
      <alignment horizontal="left" vertical="top" wrapText="1"/>
    </xf>
    <xf numFmtId="0" fontId="10" fillId="3" borderId="2" xfId="0" applyFont="1" applyFill="1" applyBorder="1" applyAlignment="1">
      <alignment horizontal="left" vertical="top" wrapText="1"/>
    </xf>
    <xf numFmtId="166" fontId="10" fillId="2" borderId="2" xfId="0" applyNumberFormat="1" applyFont="1" applyFill="1" applyBorder="1" applyAlignment="1">
      <alignment horizontal="left" vertical="top" wrapText="1"/>
    </xf>
    <xf numFmtId="166" fontId="10" fillId="3" borderId="2" xfId="0" applyNumberFormat="1" applyFont="1" applyFill="1" applyBorder="1" applyAlignment="1">
      <alignment horizontal="left" vertical="top" wrapText="1"/>
    </xf>
    <xf numFmtId="9" fontId="10" fillId="0" borderId="2" xfId="0" applyNumberFormat="1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167" fontId="10" fillId="3" borderId="2" xfId="0" applyNumberFormat="1" applyFont="1" applyFill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center" vertical="top"/>
    </xf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0" fillId="2" borderId="2" xfId="0" applyFont="1" applyFill="1" applyBorder="1" applyAlignment="1">
      <alignment horizontal="center" vertical="top"/>
    </xf>
    <xf numFmtId="0" fontId="4" fillId="0" borderId="0" xfId="0" applyFont="1"/>
    <xf numFmtId="0" fontId="15" fillId="0" borderId="2" xfId="0" applyFont="1" applyBorder="1"/>
    <xf numFmtId="0" fontId="11" fillId="0" borderId="0" xfId="0" applyFont="1"/>
    <xf numFmtId="9" fontId="10" fillId="0" borderId="2" xfId="0" applyNumberFormat="1" applyFont="1" applyBorder="1" applyAlignment="1">
      <alignment vertical="top" wrapText="1"/>
    </xf>
    <xf numFmtId="170" fontId="10" fillId="0" borderId="2" xfId="0" applyNumberFormat="1" applyFont="1" applyBorder="1" applyAlignment="1">
      <alignment vertical="top" wrapText="1"/>
    </xf>
    <xf numFmtId="3" fontId="10" fillId="0" borderId="2" xfId="0" applyNumberFormat="1" applyFont="1" applyBorder="1" applyAlignment="1">
      <alignment vertical="top" wrapText="1"/>
    </xf>
    <xf numFmtId="0" fontId="9" fillId="2" borderId="2" xfId="0" applyFont="1" applyFill="1" applyBorder="1" applyAlignment="1">
      <alignment vertical="top" wrapText="1"/>
    </xf>
    <xf numFmtId="166" fontId="10" fillId="0" borderId="2" xfId="0" applyNumberFormat="1" applyFont="1" applyBorder="1" applyAlignment="1">
      <alignment horizontal="left" vertical="top" wrapText="1"/>
    </xf>
    <xf numFmtId="3" fontId="10" fillId="3" borderId="2" xfId="0" applyNumberFormat="1" applyFont="1" applyFill="1" applyBorder="1" applyAlignment="1">
      <alignment horizontal="left" vertical="top" wrapText="1"/>
    </xf>
    <xf numFmtId="0" fontId="10" fillId="2" borderId="2" xfId="0" applyFont="1" applyFill="1" applyBorder="1" applyAlignment="1">
      <alignment vertical="top" wrapText="1"/>
    </xf>
    <xf numFmtId="0" fontId="12" fillId="0" borderId="0" xfId="0" applyFont="1"/>
    <xf numFmtId="0" fontId="10" fillId="3" borderId="2" xfId="0" applyFont="1" applyFill="1" applyBorder="1" applyAlignment="1">
      <alignment vertical="top" wrapText="1"/>
    </xf>
    <xf numFmtId="9" fontId="10" fillId="3" borderId="2" xfId="0" applyNumberFormat="1" applyFont="1" applyFill="1" applyBorder="1" applyAlignment="1">
      <alignment vertical="top" wrapText="1"/>
    </xf>
    <xf numFmtId="3" fontId="10" fillId="3" borderId="2" xfId="0" applyNumberFormat="1" applyFont="1" applyFill="1" applyBorder="1" applyAlignment="1">
      <alignment vertical="top" wrapText="1"/>
    </xf>
    <xf numFmtId="0" fontId="6" fillId="2" borderId="2" xfId="0" applyFont="1" applyFill="1" applyBorder="1" applyAlignment="1">
      <alignment vertical="top" wrapText="1"/>
    </xf>
    <xf numFmtId="9" fontId="5" fillId="0" borderId="0" xfId="0" applyNumberFormat="1" applyFont="1"/>
    <xf numFmtId="0" fontId="5" fillId="0" borderId="0" xfId="0" applyFont="1"/>
    <xf numFmtId="166" fontId="10" fillId="3" borderId="2" xfId="0" applyNumberFormat="1" applyFont="1" applyFill="1" applyBorder="1" applyAlignment="1">
      <alignment vertical="top" wrapText="1"/>
    </xf>
    <xf numFmtId="3" fontId="6" fillId="3" borderId="2" xfId="0" applyNumberFormat="1" applyFont="1" applyFill="1" applyBorder="1"/>
    <xf numFmtId="9" fontId="6" fillId="0" borderId="2" xfId="0" applyNumberFormat="1" applyFont="1" applyBorder="1"/>
    <xf numFmtId="3" fontId="6" fillId="0" borderId="2" xfId="0" applyNumberFormat="1" applyFont="1" applyBorder="1"/>
    <xf numFmtId="3" fontId="10" fillId="3" borderId="2" xfId="0" applyNumberFormat="1" applyFont="1" applyFill="1" applyBorder="1" applyAlignment="1">
      <alignment horizontal="right" vertical="top"/>
    </xf>
    <xf numFmtId="9" fontId="10" fillId="0" borderId="2" xfId="0" applyNumberFormat="1" applyFont="1" applyBorder="1" applyAlignment="1">
      <alignment horizontal="right" vertical="top"/>
    </xf>
    <xf numFmtId="3" fontId="9" fillId="3" borderId="2" xfId="0" applyNumberFormat="1" applyFont="1" applyFill="1" applyBorder="1" applyAlignment="1">
      <alignment horizontal="right" vertical="top"/>
    </xf>
    <xf numFmtId="0" fontId="7" fillId="5" borderId="2" xfId="0" applyFont="1" applyFill="1" applyBorder="1" applyAlignment="1">
      <alignment vertical="top" wrapText="1"/>
    </xf>
    <xf numFmtId="0" fontId="13" fillId="5" borderId="2" xfId="0" applyFont="1" applyFill="1" applyBorder="1" applyAlignment="1">
      <alignment vertical="top" wrapText="1"/>
    </xf>
    <xf numFmtId="3" fontId="13" fillId="5" borderId="2" xfId="0" applyNumberFormat="1" applyFont="1" applyFill="1" applyBorder="1" applyAlignment="1">
      <alignment horizontal="right" vertical="top"/>
    </xf>
    <xf numFmtId="9" fontId="13" fillId="5" borderId="2" xfId="0" applyNumberFormat="1" applyFont="1" applyFill="1" applyBorder="1" applyAlignment="1">
      <alignment horizontal="right" vertical="top"/>
    </xf>
    <xf numFmtId="168" fontId="10" fillId="3" borderId="2" xfId="0" applyNumberFormat="1" applyFont="1" applyFill="1" applyBorder="1" applyAlignment="1">
      <alignment vertical="top" wrapText="1"/>
    </xf>
    <xf numFmtId="169" fontId="10" fillId="0" borderId="2" xfId="0" applyNumberFormat="1" applyFont="1" applyBorder="1" applyAlignment="1">
      <alignment vertical="top" wrapText="1"/>
    </xf>
    <xf numFmtId="3" fontId="13" fillId="5" borderId="2" xfId="0" applyNumberFormat="1" applyFont="1" applyFill="1" applyBorder="1" applyAlignment="1">
      <alignment vertical="top" wrapText="1"/>
    </xf>
    <xf numFmtId="9" fontId="13" fillId="5" borderId="2" xfId="0" applyNumberFormat="1" applyFont="1" applyFill="1" applyBorder="1" applyAlignment="1">
      <alignment vertical="top" wrapText="1"/>
    </xf>
    <xf numFmtId="170" fontId="13" fillId="5" borderId="2" xfId="0" applyNumberFormat="1" applyFont="1" applyFill="1" applyBorder="1" applyAlignment="1">
      <alignment vertical="top" wrapText="1"/>
    </xf>
    <xf numFmtId="1" fontId="10" fillId="3" borderId="2" xfId="0" applyNumberFormat="1" applyFont="1" applyFill="1" applyBorder="1" applyAlignment="1">
      <alignment vertical="top" wrapText="1"/>
    </xf>
    <xf numFmtId="2" fontId="10" fillId="0" borderId="2" xfId="0" applyNumberFormat="1" applyFont="1" applyBorder="1" applyAlignment="1">
      <alignment vertical="top" wrapText="1"/>
    </xf>
    <xf numFmtId="1" fontId="13" fillId="5" borderId="2" xfId="0" applyNumberFormat="1" applyFont="1" applyFill="1" applyBorder="1" applyAlignment="1">
      <alignment vertical="top" wrapText="1"/>
    </xf>
    <xf numFmtId="2" fontId="13" fillId="5" borderId="2" xfId="0" applyNumberFormat="1" applyFont="1" applyFill="1" applyBorder="1" applyAlignment="1">
      <alignment vertical="top" wrapText="1"/>
    </xf>
    <xf numFmtId="0" fontId="6" fillId="0" borderId="0" xfId="0" applyFont="1"/>
    <xf numFmtId="166" fontId="10" fillId="2" borderId="2" xfId="0" applyNumberFormat="1" applyFont="1" applyFill="1" applyBorder="1" applyAlignment="1">
      <alignment vertical="top" wrapText="1"/>
    </xf>
    <xf numFmtId="0" fontId="5" fillId="2" borderId="2" xfId="0" applyFont="1" applyFill="1" applyBorder="1"/>
    <xf numFmtId="0" fontId="5" fillId="3" borderId="2" xfId="0" applyFont="1" applyFill="1" applyBorder="1"/>
    <xf numFmtId="0" fontId="5" fillId="0" borderId="2" xfId="0" applyFont="1" applyBorder="1"/>
    <xf numFmtId="0" fontId="7" fillId="0" borderId="2" xfId="0" applyFont="1" applyBorder="1"/>
    <xf numFmtId="0" fontId="9" fillId="0" borderId="2" xfId="0" applyFont="1" applyBorder="1" applyAlignment="1">
      <alignment horizontal="center" vertical="top" wrapText="1"/>
    </xf>
    <xf numFmtId="0" fontId="18" fillId="0" borderId="0" xfId="0" applyFont="1"/>
    <xf numFmtId="0" fontId="0" fillId="0" borderId="0" xfId="0"/>
    <xf numFmtId="0" fontId="3" fillId="0" borderId="0" xfId="0" applyFont="1"/>
    <xf numFmtId="0" fontId="10" fillId="0" borderId="2" xfId="0" applyFont="1" applyBorder="1" applyAlignment="1">
      <alignment vertical="top" wrapText="1"/>
    </xf>
    <xf numFmtId="0" fontId="0" fillId="0" borderId="2" xfId="0" applyBorder="1"/>
    <xf numFmtId="0" fontId="9" fillId="2" borderId="2" xfId="0" applyFont="1" applyFill="1" applyBorder="1" applyAlignment="1">
      <alignment vertical="top" wrapText="1"/>
    </xf>
    <xf numFmtId="0" fontId="10" fillId="2" borderId="2" xfId="0" applyFont="1" applyFill="1" applyBorder="1" applyAlignment="1">
      <alignment vertical="top" wrapText="1"/>
    </xf>
    <xf numFmtId="0" fontId="10" fillId="3" borderId="2" xfId="0" applyFont="1" applyFill="1" applyBorder="1" applyAlignment="1">
      <alignment vertical="top"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92">
    <dxf>
      <font>
        <b/>
        <color rgb="FF5B6270"/>
        <name val="Arial"/>
      </font>
      <fill>
        <patternFill patternType="solid">
          <fgColor rgb="FFECEEF1"/>
        </patternFill>
      </fill>
    </dxf>
    <dxf>
      <font>
        <b/>
        <color rgb="FF5B6270"/>
        <name val="Arial"/>
      </font>
      <fill>
        <patternFill patternType="solid">
          <fgColor rgb="FFECEEF1"/>
        </patternFill>
      </fill>
    </dxf>
    <dxf>
      <font>
        <b/>
        <color rgb="FFB51D32"/>
        <name val="Arial"/>
      </font>
      <fill>
        <patternFill patternType="solid">
          <fgColor rgb="FFFBE6E9"/>
        </patternFill>
      </fill>
    </dxf>
    <dxf>
      <font>
        <b/>
        <color rgb="FFB51D32"/>
        <name val="Arial"/>
      </font>
      <fill>
        <patternFill patternType="solid">
          <fgColor rgb="FFFBE6E9"/>
        </patternFill>
      </fill>
    </dxf>
    <dxf>
      <font>
        <b/>
        <color rgb="FFB51D32"/>
        <name val="Arial"/>
      </font>
      <fill>
        <patternFill patternType="solid">
          <fgColor rgb="FFFBE6E9"/>
        </patternFill>
      </fill>
    </dxf>
    <dxf>
      <font>
        <b/>
        <color rgb="FFB51D32"/>
        <name val="Arial"/>
      </font>
      <fill>
        <patternFill patternType="solid">
          <fgColor rgb="FFFBE6E9"/>
        </patternFill>
      </fill>
    </dxf>
    <dxf>
      <font>
        <b/>
        <color rgb="FFB51D32"/>
        <name val="Arial"/>
      </font>
      <fill>
        <patternFill patternType="solid">
          <fgColor rgb="FFFBE6E9"/>
        </patternFill>
      </fill>
    </dxf>
    <dxf>
      <font>
        <b/>
        <color rgb="FF9A5200"/>
        <name val="Arial"/>
      </font>
      <fill>
        <patternFill patternType="solid">
          <fgColor rgb="FFFDF0DC"/>
        </patternFill>
      </fill>
    </dxf>
    <dxf>
      <font>
        <b/>
        <color rgb="FF9A5200"/>
        <name val="Arial"/>
      </font>
      <fill>
        <patternFill patternType="solid">
          <fgColor rgb="FFFDF0DC"/>
        </patternFill>
      </fill>
    </dxf>
    <dxf>
      <font>
        <b/>
        <color rgb="FF9A5200"/>
        <name val="Arial"/>
      </font>
      <fill>
        <patternFill patternType="solid">
          <fgColor rgb="FFFDF0DC"/>
        </patternFill>
      </fill>
    </dxf>
    <dxf>
      <font>
        <b/>
        <color rgb="FF9A5200"/>
        <name val="Arial"/>
      </font>
      <fill>
        <patternFill patternType="solid">
          <fgColor rgb="FFFDF0DC"/>
        </patternFill>
      </fill>
    </dxf>
    <dxf>
      <font>
        <b/>
        <color rgb="FF08783E"/>
        <name val="Arial"/>
      </font>
      <fill>
        <patternFill patternType="solid">
          <fgColor rgb="FFE3F4EA"/>
        </patternFill>
      </fill>
    </dxf>
    <dxf>
      <font>
        <b/>
        <color rgb="FF08783E"/>
        <name val="Arial"/>
      </font>
      <fill>
        <patternFill patternType="solid">
          <fgColor rgb="FFE3F4EA"/>
        </patternFill>
      </fill>
    </dxf>
    <dxf>
      <font>
        <b/>
        <color rgb="FF08783E"/>
        <name val="Arial"/>
      </font>
      <fill>
        <patternFill patternType="solid">
          <fgColor rgb="FFE3F4EA"/>
        </patternFill>
      </fill>
    </dxf>
    <dxf>
      <font>
        <b/>
        <color rgb="FF08783E"/>
        <name val="Arial"/>
      </font>
      <fill>
        <patternFill patternType="solid">
          <fgColor rgb="FFE3F4EA"/>
        </patternFill>
      </fill>
    </dxf>
    <dxf>
      <font>
        <b/>
        <color rgb="FF5B6270"/>
        <name val="Arial"/>
      </font>
      <fill>
        <patternFill patternType="solid">
          <fgColor rgb="FFECEEF1"/>
        </patternFill>
      </fill>
    </dxf>
    <dxf>
      <font>
        <b/>
        <color rgb="FF5B6270"/>
        <name val="Arial"/>
      </font>
      <fill>
        <patternFill patternType="solid">
          <fgColor rgb="FFECEEF1"/>
        </patternFill>
      </fill>
    </dxf>
    <dxf>
      <font>
        <b/>
        <color rgb="FFB51D32"/>
        <name val="Arial"/>
      </font>
      <fill>
        <patternFill patternType="solid">
          <fgColor rgb="FFFBE6E9"/>
        </patternFill>
      </fill>
    </dxf>
    <dxf>
      <font>
        <b/>
        <color rgb="FFB51D32"/>
        <name val="Arial"/>
      </font>
      <fill>
        <patternFill patternType="solid">
          <fgColor rgb="FFFBE6E9"/>
        </patternFill>
      </fill>
    </dxf>
    <dxf>
      <font>
        <b/>
        <color rgb="FFB51D32"/>
        <name val="Arial"/>
      </font>
      <fill>
        <patternFill patternType="solid">
          <fgColor rgb="FFFBE6E9"/>
        </patternFill>
      </fill>
    </dxf>
    <dxf>
      <font>
        <b/>
        <color rgb="FFB51D32"/>
        <name val="Arial"/>
      </font>
      <fill>
        <patternFill patternType="solid">
          <fgColor rgb="FFFBE6E9"/>
        </patternFill>
      </fill>
    </dxf>
    <dxf>
      <font>
        <b/>
        <color rgb="FFB51D32"/>
        <name val="Arial"/>
      </font>
      <fill>
        <patternFill patternType="solid">
          <fgColor rgb="FFFBE6E9"/>
        </patternFill>
      </fill>
    </dxf>
    <dxf>
      <font>
        <b/>
        <color rgb="FF9A5200"/>
        <name val="Arial"/>
      </font>
      <fill>
        <patternFill patternType="solid">
          <fgColor rgb="FFFDF0DC"/>
        </patternFill>
      </fill>
    </dxf>
    <dxf>
      <font>
        <b/>
        <color rgb="FF9A5200"/>
        <name val="Arial"/>
      </font>
      <fill>
        <patternFill patternType="solid">
          <fgColor rgb="FFFDF0DC"/>
        </patternFill>
      </fill>
    </dxf>
    <dxf>
      <font>
        <b/>
        <color rgb="FF9A5200"/>
        <name val="Arial"/>
      </font>
      <fill>
        <patternFill patternType="solid">
          <fgColor rgb="FFFDF0DC"/>
        </patternFill>
      </fill>
    </dxf>
    <dxf>
      <font>
        <b/>
        <color rgb="FF9A5200"/>
        <name val="Arial"/>
      </font>
      <fill>
        <patternFill patternType="solid">
          <fgColor rgb="FFFDF0DC"/>
        </patternFill>
      </fill>
    </dxf>
    <dxf>
      <font>
        <b/>
        <color rgb="FF08783E"/>
        <name val="Arial"/>
      </font>
      <fill>
        <patternFill patternType="solid">
          <fgColor rgb="FFE3F4EA"/>
        </patternFill>
      </fill>
    </dxf>
    <dxf>
      <font>
        <b/>
        <color rgb="FF08783E"/>
        <name val="Arial"/>
      </font>
      <fill>
        <patternFill patternType="solid">
          <fgColor rgb="FFE3F4EA"/>
        </patternFill>
      </fill>
    </dxf>
    <dxf>
      <font>
        <b/>
        <color rgb="FF08783E"/>
        <name val="Arial"/>
      </font>
      <fill>
        <patternFill patternType="solid">
          <fgColor rgb="FFE3F4EA"/>
        </patternFill>
      </fill>
    </dxf>
    <dxf>
      <font>
        <b/>
        <color rgb="FF08783E"/>
        <name val="Arial"/>
      </font>
      <fill>
        <patternFill patternType="solid">
          <fgColor rgb="FFE3F4EA"/>
        </patternFill>
      </fill>
    </dxf>
    <dxf>
      <font>
        <b/>
        <color rgb="FF5B6270"/>
        <name val="Arial"/>
      </font>
      <fill>
        <patternFill patternType="solid">
          <fgColor rgb="FFECEEF1"/>
        </patternFill>
      </fill>
    </dxf>
    <dxf>
      <font>
        <b/>
        <color rgb="FF5B6270"/>
        <name val="Arial"/>
      </font>
      <fill>
        <patternFill patternType="solid">
          <fgColor rgb="FFECEEF1"/>
        </patternFill>
      </fill>
    </dxf>
    <dxf>
      <font>
        <b/>
        <color rgb="FFB51D32"/>
        <name val="Arial"/>
      </font>
      <fill>
        <patternFill patternType="solid">
          <fgColor rgb="FFFBE6E9"/>
        </patternFill>
      </fill>
    </dxf>
    <dxf>
      <font>
        <b/>
        <color rgb="FFB51D32"/>
        <name val="Arial"/>
      </font>
      <fill>
        <patternFill patternType="solid">
          <fgColor rgb="FFFBE6E9"/>
        </patternFill>
      </fill>
    </dxf>
    <dxf>
      <font>
        <b/>
        <color rgb="FFB51D32"/>
        <name val="Arial"/>
      </font>
      <fill>
        <patternFill patternType="solid">
          <fgColor rgb="FFFBE6E9"/>
        </patternFill>
      </fill>
    </dxf>
    <dxf>
      <font>
        <b/>
        <color rgb="FFB51D32"/>
        <name val="Arial"/>
      </font>
      <fill>
        <patternFill patternType="solid">
          <fgColor rgb="FFFBE6E9"/>
        </patternFill>
      </fill>
    </dxf>
    <dxf>
      <font>
        <b/>
        <color rgb="FFB51D32"/>
        <name val="Arial"/>
      </font>
      <fill>
        <patternFill patternType="solid">
          <fgColor rgb="FFFBE6E9"/>
        </patternFill>
      </fill>
    </dxf>
    <dxf>
      <font>
        <b/>
        <color rgb="FF9A5200"/>
        <name val="Arial"/>
      </font>
      <fill>
        <patternFill patternType="solid">
          <fgColor rgb="FFFDF0DC"/>
        </patternFill>
      </fill>
    </dxf>
    <dxf>
      <font>
        <b/>
        <color rgb="FF9A5200"/>
        <name val="Arial"/>
      </font>
      <fill>
        <patternFill patternType="solid">
          <fgColor rgb="FFFDF0DC"/>
        </patternFill>
      </fill>
    </dxf>
    <dxf>
      <font>
        <b/>
        <color rgb="FF9A5200"/>
        <name val="Arial"/>
      </font>
      <fill>
        <patternFill patternType="solid">
          <fgColor rgb="FFFDF0DC"/>
        </patternFill>
      </fill>
    </dxf>
    <dxf>
      <font>
        <b/>
        <color rgb="FF9A5200"/>
        <name val="Arial"/>
      </font>
      <fill>
        <patternFill patternType="solid">
          <fgColor rgb="FFFDF0DC"/>
        </patternFill>
      </fill>
    </dxf>
    <dxf>
      <font>
        <b/>
        <color rgb="FF08783E"/>
        <name val="Arial"/>
      </font>
      <fill>
        <patternFill patternType="solid">
          <fgColor rgb="FFE3F4EA"/>
        </patternFill>
      </fill>
    </dxf>
    <dxf>
      <font>
        <b/>
        <color rgb="FF08783E"/>
        <name val="Arial"/>
      </font>
      <fill>
        <patternFill patternType="solid">
          <fgColor rgb="FFE3F4EA"/>
        </patternFill>
      </fill>
    </dxf>
    <dxf>
      <font>
        <b/>
        <color rgb="FF08783E"/>
        <name val="Arial"/>
      </font>
      <fill>
        <patternFill patternType="solid">
          <fgColor rgb="FFE3F4EA"/>
        </patternFill>
      </fill>
    </dxf>
    <dxf>
      <font>
        <b/>
        <color rgb="FF08783E"/>
        <name val="Arial"/>
      </font>
      <fill>
        <patternFill patternType="solid">
          <fgColor rgb="FFE3F4EA"/>
        </patternFill>
      </fill>
    </dxf>
    <dxf>
      <font>
        <b/>
        <color rgb="FF5B6270"/>
        <name val="Arial"/>
      </font>
      <fill>
        <patternFill patternType="solid">
          <fgColor rgb="FFECEEF1"/>
        </patternFill>
      </fill>
    </dxf>
    <dxf>
      <font>
        <b/>
        <color rgb="FF5B6270"/>
        <name val="Arial"/>
      </font>
      <fill>
        <patternFill patternType="solid">
          <fgColor rgb="FFECEEF1"/>
        </patternFill>
      </fill>
    </dxf>
    <dxf>
      <font>
        <b/>
        <color rgb="FFB51D32"/>
        <name val="Arial"/>
      </font>
      <fill>
        <patternFill patternType="solid">
          <fgColor rgb="FFFBE6E9"/>
        </patternFill>
      </fill>
    </dxf>
    <dxf>
      <font>
        <b/>
        <color rgb="FFB51D32"/>
        <name val="Arial"/>
      </font>
      <fill>
        <patternFill patternType="solid">
          <fgColor rgb="FFFBE6E9"/>
        </patternFill>
      </fill>
    </dxf>
    <dxf>
      <font>
        <b/>
        <color rgb="FFB51D32"/>
        <name val="Arial"/>
      </font>
      <fill>
        <patternFill patternType="solid">
          <fgColor rgb="FFFBE6E9"/>
        </patternFill>
      </fill>
    </dxf>
    <dxf>
      <font>
        <b/>
        <color rgb="FFB51D32"/>
        <name val="Arial"/>
      </font>
      <fill>
        <patternFill patternType="solid">
          <fgColor rgb="FFFBE6E9"/>
        </patternFill>
      </fill>
    </dxf>
    <dxf>
      <font>
        <b/>
        <color rgb="FFB51D32"/>
        <name val="Arial"/>
      </font>
      <fill>
        <patternFill patternType="solid">
          <fgColor rgb="FFFBE6E9"/>
        </patternFill>
      </fill>
    </dxf>
    <dxf>
      <font>
        <b/>
        <color rgb="FF9A5200"/>
        <name val="Arial"/>
      </font>
      <fill>
        <patternFill patternType="solid">
          <fgColor rgb="FFFDF0DC"/>
        </patternFill>
      </fill>
    </dxf>
    <dxf>
      <font>
        <b/>
        <color rgb="FF9A5200"/>
        <name val="Arial"/>
      </font>
      <fill>
        <patternFill patternType="solid">
          <fgColor rgb="FFFDF0DC"/>
        </patternFill>
      </fill>
    </dxf>
    <dxf>
      <font>
        <b/>
        <color rgb="FF9A5200"/>
        <name val="Arial"/>
      </font>
      <fill>
        <patternFill patternType="solid">
          <fgColor rgb="FFFDF0DC"/>
        </patternFill>
      </fill>
    </dxf>
    <dxf>
      <font>
        <b/>
        <color rgb="FF9A5200"/>
        <name val="Arial"/>
      </font>
      <fill>
        <patternFill patternType="solid">
          <fgColor rgb="FFFDF0DC"/>
        </patternFill>
      </fill>
    </dxf>
    <dxf>
      <font>
        <b/>
        <color rgb="FF08783E"/>
        <name val="Arial"/>
      </font>
      <fill>
        <patternFill patternType="solid">
          <fgColor rgb="FFE3F4EA"/>
        </patternFill>
      </fill>
    </dxf>
    <dxf>
      <font>
        <b/>
        <color rgb="FF08783E"/>
        <name val="Arial"/>
      </font>
      <fill>
        <patternFill patternType="solid">
          <fgColor rgb="FFE3F4EA"/>
        </patternFill>
      </fill>
    </dxf>
    <dxf>
      <font>
        <b/>
        <color rgb="FF08783E"/>
        <name val="Arial"/>
      </font>
      <fill>
        <patternFill patternType="solid">
          <fgColor rgb="FFE3F4EA"/>
        </patternFill>
      </fill>
    </dxf>
    <dxf>
      <font>
        <b/>
        <color rgb="FF08783E"/>
        <name val="Arial"/>
      </font>
      <fill>
        <patternFill patternType="solid">
          <fgColor rgb="FFE3F4EA"/>
        </patternFill>
      </fill>
    </dxf>
    <dxf>
      <font>
        <b/>
        <color rgb="FF5B6270"/>
        <name val="Arial"/>
      </font>
      <fill>
        <patternFill patternType="solid">
          <fgColor rgb="FFECEEF1"/>
        </patternFill>
      </fill>
    </dxf>
    <dxf>
      <font>
        <b/>
        <color rgb="FF5B6270"/>
        <name val="Arial"/>
      </font>
      <fill>
        <patternFill patternType="solid">
          <fgColor rgb="FFECEEF1"/>
        </patternFill>
      </fill>
    </dxf>
    <dxf>
      <font>
        <b/>
        <color rgb="FFB51D32"/>
        <name val="Arial"/>
      </font>
      <fill>
        <patternFill patternType="solid">
          <fgColor rgb="FFFBE6E9"/>
        </patternFill>
      </fill>
    </dxf>
    <dxf>
      <font>
        <b/>
        <color rgb="FFB51D32"/>
        <name val="Arial"/>
      </font>
      <fill>
        <patternFill patternType="solid">
          <fgColor rgb="FFFBE6E9"/>
        </patternFill>
      </fill>
    </dxf>
    <dxf>
      <font>
        <b/>
        <color rgb="FFB51D32"/>
        <name val="Arial"/>
      </font>
      <fill>
        <patternFill patternType="solid">
          <fgColor rgb="FFFBE6E9"/>
        </patternFill>
      </fill>
    </dxf>
    <dxf>
      <font>
        <b/>
        <color rgb="FFB51D32"/>
        <name val="Arial"/>
      </font>
      <fill>
        <patternFill patternType="solid">
          <fgColor rgb="FFFBE6E9"/>
        </patternFill>
      </fill>
    </dxf>
    <dxf>
      <font>
        <b/>
        <color rgb="FFB51D32"/>
        <name val="Arial"/>
      </font>
      <fill>
        <patternFill patternType="solid">
          <fgColor rgb="FFFBE6E9"/>
        </patternFill>
      </fill>
    </dxf>
    <dxf>
      <font>
        <b/>
        <color rgb="FF9A5200"/>
        <name val="Arial"/>
      </font>
      <fill>
        <patternFill patternType="solid">
          <fgColor rgb="FFFDF0DC"/>
        </patternFill>
      </fill>
    </dxf>
    <dxf>
      <font>
        <b/>
        <color rgb="FF9A5200"/>
        <name val="Arial"/>
      </font>
      <fill>
        <patternFill patternType="solid">
          <fgColor rgb="FFFDF0DC"/>
        </patternFill>
      </fill>
    </dxf>
    <dxf>
      <font>
        <b/>
        <color rgb="FF9A5200"/>
        <name val="Arial"/>
      </font>
      <fill>
        <patternFill patternType="solid">
          <fgColor rgb="FFFDF0DC"/>
        </patternFill>
      </fill>
    </dxf>
    <dxf>
      <font>
        <b/>
        <color rgb="FF9A5200"/>
        <name val="Arial"/>
      </font>
      <fill>
        <patternFill patternType="solid">
          <fgColor rgb="FFFDF0DC"/>
        </patternFill>
      </fill>
    </dxf>
    <dxf>
      <font>
        <b/>
        <color rgb="FF08783E"/>
        <name val="Arial"/>
      </font>
      <fill>
        <patternFill patternType="solid">
          <fgColor rgb="FFE3F4EA"/>
        </patternFill>
      </fill>
    </dxf>
    <dxf>
      <font>
        <b/>
        <color rgb="FF08783E"/>
        <name val="Arial"/>
      </font>
      <fill>
        <patternFill patternType="solid">
          <fgColor rgb="FFE3F4EA"/>
        </patternFill>
      </fill>
    </dxf>
    <dxf>
      <font>
        <b/>
        <color rgb="FF08783E"/>
        <name val="Arial"/>
      </font>
      <fill>
        <patternFill patternType="solid">
          <fgColor rgb="FFE3F4EA"/>
        </patternFill>
      </fill>
    </dxf>
    <dxf>
      <font>
        <b/>
        <color rgb="FF08783E"/>
        <name val="Arial"/>
      </font>
      <fill>
        <patternFill patternType="solid">
          <fgColor rgb="FFE3F4EA"/>
        </patternFill>
      </fill>
    </dxf>
    <dxf>
      <font>
        <b/>
        <color rgb="FF5B6270"/>
        <name val="Arial"/>
      </font>
      <fill>
        <patternFill patternType="solid">
          <fgColor rgb="FFECEEF1"/>
        </patternFill>
      </fill>
    </dxf>
    <dxf>
      <font>
        <b/>
        <color rgb="FF5B6270"/>
        <name val="Arial"/>
      </font>
      <fill>
        <patternFill patternType="solid">
          <fgColor rgb="FFECEEF1"/>
        </patternFill>
      </fill>
    </dxf>
    <dxf>
      <font>
        <b/>
        <color rgb="FF5B6270"/>
        <name val="Arial"/>
      </font>
      <fill>
        <patternFill patternType="solid">
          <fgColor rgb="FFECEEF1"/>
        </patternFill>
      </fill>
    </dxf>
    <dxf>
      <font>
        <b/>
        <color rgb="FFB51D32"/>
        <name val="Arial"/>
      </font>
      <fill>
        <patternFill patternType="solid">
          <fgColor rgb="FFFBE6E9"/>
        </patternFill>
      </fill>
    </dxf>
    <dxf>
      <font>
        <b/>
        <color rgb="FFB51D32"/>
        <name val="Arial"/>
      </font>
      <fill>
        <patternFill patternType="solid">
          <fgColor rgb="FFFBE6E9"/>
        </patternFill>
      </fill>
    </dxf>
    <dxf>
      <font>
        <b/>
        <color rgb="FFB51D32"/>
        <name val="Arial"/>
      </font>
      <fill>
        <patternFill patternType="solid">
          <fgColor rgb="FFFBE6E9"/>
        </patternFill>
      </fill>
    </dxf>
    <dxf>
      <font>
        <b/>
        <color rgb="FFB51D32"/>
        <name val="Arial"/>
      </font>
      <fill>
        <patternFill patternType="solid">
          <fgColor rgb="FFFBE6E9"/>
        </patternFill>
      </fill>
    </dxf>
    <dxf>
      <font>
        <b/>
        <color rgb="FFB51D32"/>
        <name val="Arial"/>
      </font>
      <fill>
        <patternFill patternType="solid">
          <fgColor rgb="FFFBE6E9"/>
        </patternFill>
      </fill>
    </dxf>
    <dxf>
      <font>
        <b/>
        <color rgb="FF9A5200"/>
        <name val="Arial"/>
      </font>
      <fill>
        <patternFill patternType="solid">
          <fgColor rgb="FFFDF0DC"/>
        </patternFill>
      </fill>
    </dxf>
    <dxf>
      <font>
        <b/>
        <color rgb="FF9A5200"/>
        <name val="Arial"/>
      </font>
      <fill>
        <patternFill patternType="solid">
          <fgColor rgb="FFFDF0DC"/>
        </patternFill>
      </fill>
    </dxf>
    <dxf>
      <font>
        <b/>
        <color rgb="FF9A5200"/>
        <name val="Arial"/>
      </font>
      <fill>
        <patternFill patternType="solid">
          <fgColor rgb="FFFDF0DC"/>
        </patternFill>
      </fill>
    </dxf>
    <dxf>
      <font>
        <b/>
        <color rgb="FF9A5200"/>
        <name val="Arial"/>
      </font>
      <fill>
        <patternFill patternType="solid">
          <fgColor rgb="FFFDF0DC"/>
        </patternFill>
      </fill>
    </dxf>
    <dxf>
      <font>
        <b/>
        <color rgb="FF08783E"/>
        <name val="Arial"/>
      </font>
      <fill>
        <patternFill patternType="solid">
          <fgColor rgb="FFE3F4EA"/>
        </patternFill>
      </fill>
    </dxf>
    <dxf>
      <font>
        <b/>
        <color rgb="FF08783E"/>
        <name val="Arial"/>
      </font>
      <fill>
        <patternFill patternType="solid">
          <fgColor rgb="FFE3F4EA"/>
        </patternFill>
      </fill>
    </dxf>
    <dxf>
      <font>
        <b/>
        <color rgb="FF08783E"/>
        <name val="Arial"/>
      </font>
      <fill>
        <patternFill patternType="solid">
          <fgColor rgb="FFE3F4EA"/>
        </patternFill>
      </fill>
    </dxf>
    <dxf>
      <font>
        <b/>
        <color rgb="FF08783E"/>
        <name val="Arial"/>
      </font>
      <fill>
        <patternFill patternType="solid">
          <fgColor rgb="FFE3F4EA"/>
        </patternFill>
      </fill>
    </dxf>
    <dxf>
      <font>
        <b/>
        <color rgb="FF08783E"/>
        <name val="Arial"/>
      </font>
      <fill>
        <patternFill patternType="solid">
          <fgColor rgb="FFE3F4E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56F"/>
    <pageSetUpPr fitToPage="1"/>
  </sheetPr>
  <dimension ref="B2:D23"/>
  <sheetViews>
    <sheetView showGridLines="0" tabSelected="1" workbookViewId="0"/>
  </sheetViews>
  <sheetFormatPr defaultRowHeight="14.4" x14ac:dyDescent="0.3"/>
  <cols>
    <col min="1" max="1" width="3" customWidth="1"/>
    <col min="2" max="2" width="26" customWidth="1"/>
    <col min="3" max="3" width="52" customWidth="1"/>
    <col min="4" max="4" width="22" customWidth="1"/>
  </cols>
  <sheetData>
    <row r="2" spans="2:4" ht="15.6" x14ac:dyDescent="0.3">
      <c r="B2" s="1" t="s">
        <v>0</v>
      </c>
      <c r="D2" s="2" t="str">
        <f>About!B5</f>
        <v>[Organization name]</v>
      </c>
    </row>
    <row r="7" spans="2:4" x14ac:dyDescent="0.3">
      <c r="B7" s="3"/>
      <c r="C7" s="3"/>
      <c r="D7" s="3"/>
    </row>
    <row r="8" spans="2:4" ht="15.6" x14ac:dyDescent="0.3">
      <c r="B8" s="4" t="str">
        <f>INDEX(Guide!$C$21:$G$21,MATCH(About!$B$8,Guide!$C$20:$G$20,0))</f>
        <v>MIDTERM REPORT</v>
      </c>
    </row>
    <row r="9" spans="2:4" ht="43.95" customHeight="1" x14ac:dyDescent="0.6">
      <c r="B9" s="72" t="str">
        <f>About!B6</f>
        <v>Coastal Livelihoods Project</v>
      </c>
      <c r="C9" s="73"/>
      <c r="D9" s="73"/>
    </row>
    <row r="10" spans="2:4" ht="17.399999999999999" x14ac:dyDescent="0.3">
      <c r="B10" s="5" t="str">
        <f>TEXT(About!B9,"d mmm yyyy")&amp;" to "&amp;TEXT(About!B10,"d mmm yyyy")</f>
        <v>1 Oct 2025 to 30 Sep 2026</v>
      </c>
    </row>
    <row r="11" spans="2:4" x14ac:dyDescent="0.3">
      <c r="B11" s="6" t="str">
        <f>About!B7&amp;"  |  "&amp;'2 Background'!B10</f>
        <v>CLP-2025-03  |  Borongan, Guiuan, Salcedo and Mercedes, Eastern Samar</v>
      </c>
    </row>
    <row r="15" spans="2:4" x14ac:dyDescent="0.3">
      <c r="B15" s="7" t="s">
        <v>1</v>
      </c>
      <c r="C15" s="8" t="s">
        <v>2</v>
      </c>
    </row>
    <row r="16" spans="2:4" x14ac:dyDescent="0.3">
      <c r="B16" s="7" t="s">
        <v>3</v>
      </c>
      <c r="C16" s="9" t="s">
        <v>4</v>
      </c>
    </row>
    <row r="17" spans="2:3" x14ac:dyDescent="0.3">
      <c r="B17" s="7" t="s">
        <v>5</v>
      </c>
      <c r="C17" s="8" t="s">
        <v>6</v>
      </c>
    </row>
    <row r="18" spans="2:3" x14ac:dyDescent="0.3">
      <c r="B18" s="7" t="s">
        <v>7</v>
      </c>
      <c r="C18" s="8" t="s">
        <v>8</v>
      </c>
    </row>
    <row r="19" spans="2:3" x14ac:dyDescent="0.3">
      <c r="B19" s="7" t="s">
        <v>9</v>
      </c>
      <c r="C19" s="10">
        <f>About!B20</f>
        <v>46302.445833333331</v>
      </c>
    </row>
    <row r="20" spans="2:3" x14ac:dyDescent="0.3">
      <c r="B20" s="7" t="s">
        <v>10</v>
      </c>
      <c r="C20" s="8" t="s">
        <v>11</v>
      </c>
    </row>
    <row r="23" spans="2:3" x14ac:dyDescent="0.3">
      <c r="B23" s="11" t="s">
        <v>12</v>
      </c>
    </row>
  </sheetData>
  <mergeCells count="1">
    <mergeCell ref="B9:D9"/>
  </mergeCells>
  <dataValidations count="2">
    <dataValidation type="list" sqref="C18" xr:uid="{00000000-0002-0000-0000-000000000000}">
      <formula1>"Draft,Final"</formula1>
    </dataValidation>
    <dataValidation type="list" sqref="C20" xr:uid="{00000000-0002-0000-0000-000001000000}">
      <formula1>"Public,Internal,Confidential"</formula1>
    </dataValidation>
  </dataValidations>
  <pageMargins left="0.75" right="0.75" top="1" bottom="1" header="0.5" footer="0.5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56F"/>
    <pageSetUpPr fitToPage="1"/>
  </sheetPr>
  <dimension ref="A1:B21"/>
  <sheetViews>
    <sheetView showGridLines="0" workbookViewId="0"/>
  </sheetViews>
  <sheetFormatPr defaultRowHeight="14.4" x14ac:dyDescent="0.3"/>
  <cols>
    <col min="1" max="1" width="28" customWidth="1"/>
    <col min="2" max="2" width="70" customWidth="1"/>
  </cols>
  <sheetData>
    <row r="1" spans="1:2" x14ac:dyDescent="0.3">
      <c r="A1" s="12" t="str">
        <f>"PATHWAYS  |  "&amp;About!$B$7&amp;"  "&amp;About!$B$6&amp;"  |  "&amp;About!$B$8&amp;" report"</f>
        <v>PATHWAYS  |  CLP-2025-03  Coastal Livelihoods Project  |  Midterm report</v>
      </c>
    </row>
    <row r="2" spans="1:2" ht="28.05" customHeight="1" x14ac:dyDescent="0.4">
      <c r="A2" s="13" t="s">
        <v>13</v>
      </c>
      <c r="B2" s="3"/>
    </row>
    <row r="3" spans="1:2" x14ac:dyDescent="0.3">
      <c r="A3" s="74" t="s">
        <v>14</v>
      </c>
      <c r="B3" s="73"/>
    </row>
    <row r="4" spans="1:2" ht="22.05" customHeight="1" x14ac:dyDescent="0.3">
      <c r="A4" s="14" t="s">
        <v>15</v>
      </c>
      <c r="B4" s="14" t="s">
        <v>16</v>
      </c>
    </row>
    <row r="5" spans="1:2" x14ac:dyDescent="0.3">
      <c r="A5" s="15" t="s">
        <v>17</v>
      </c>
      <c r="B5" s="16" t="s">
        <v>18</v>
      </c>
    </row>
    <row r="6" spans="1:2" x14ac:dyDescent="0.3">
      <c r="A6" s="15" t="s">
        <v>19</v>
      </c>
      <c r="B6" s="17" t="s">
        <v>20</v>
      </c>
    </row>
    <row r="7" spans="1:2" x14ac:dyDescent="0.3">
      <c r="A7" s="15" t="s">
        <v>21</v>
      </c>
      <c r="B7" s="17" t="s">
        <v>22</v>
      </c>
    </row>
    <row r="8" spans="1:2" x14ac:dyDescent="0.3">
      <c r="A8" s="15" t="s">
        <v>23</v>
      </c>
      <c r="B8" s="16" t="s">
        <v>24</v>
      </c>
    </row>
    <row r="9" spans="1:2" x14ac:dyDescent="0.3">
      <c r="A9" s="15" t="s">
        <v>25</v>
      </c>
      <c r="B9" s="18">
        <v>45931</v>
      </c>
    </row>
    <row r="10" spans="1:2" x14ac:dyDescent="0.3">
      <c r="A10" s="15" t="s">
        <v>26</v>
      </c>
      <c r="B10" s="18">
        <v>46295</v>
      </c>
    </row>
    <row r="11" spans="1:2" x14ac:dyDescent="0.3">
      <c r="A11" s="15" t="s">
        <v>27</v>
      </c>
      <c r="B11" s="19">
        <v>46295</v>
      </c>
    </row>
    <row r="12" spans="1:2" x14ac:dyDescent="0.3">
      <c r="A12" s="15" t="s">
        <v>28</v>
      </c>
      <c r="B12" s="19">
        <v>45931</v>
      </c>
    </row>
    <row r="13" spans="1:2" x14ac:dyDescent="0.3">
      <c r="A13" s="15" t="s">
        <v>29</v>
      </c>
      <c r="B13" s="19">
        <v>46660</v>
      </c>
    </row>
    <row r="14" spans="1:2" x14ac:dyDescent="0.3">
      <c r="A14" s="15" t="s">
        <v>30</v>
      </c>
      <c r="B14" s="20">
        <f>MIN(1,MAX(0,(B11-B12)/(B13-B12)))</f>
        <v>0.4993141289437586</v>
      </c>
    </row>
    <row r="15" spans="1:2" x14ac:dyDescent="0.3">
      <c r="A15" s="15" t="s">
        <v>31</v>
      </c>
      <c r="B15" s="16" t="s">
        <v>32</v>
      </c>
    </row>
    <row r="16" spans="1:2" x14ac:dyDescent="0.3">
      <c r="A16" s="15" t="s">
        <v>33</v>
      </c>
      <c r="B16" s="16" t="s">
        <v>34</v>
      </c>
    </row>
    <row r="17" spans="1:2" x14ac:dyDescent="0.3">
      <c r="A17" s="15" t="s">
        <v>35</v>
      </c>
      <c r="B17" s="16" t="s">
        <v>36</v>
      </c>
    </row>
    <row r="18" spans="1:2" ht="28.05" customHeight="1" x14ac:dyDescent="0.3">
      <c r="A18" s="15" t="s">
        <v>37</v>
      </c>
      <c r="B18" s="21" t="s">
        <v>38</v>
      </c>
    </row>
    <row r="19" spans="1:2" ht="28.05" customHeight="1" x14ac:dyDescent="0.3">
      <c r="A19" s="15" t="s">
        <v>39</v>
      </c>
      <c r="B19" s="21" t="s">
        <v>40</v>
      </c>
    </row>
    <row r="20" spans="1:2" x14ac:dyDescent="0.3">
      <c r="A20" s="15" t="s">
        <v>9</v>
      </c>
      <c r="B20" s="22">
        <v>46302.445833333331</v>
      </c>
    </row>
    <row r="21" spans="1:2" x14ac:dyDescent="0.3">
      <c r="A21" s="15" t="s">
        <v>41</v>
      </c>
      <c r="B21" s="23" t="str">
        <f>COUNTIF(Contents!$E$8:$E$20,"Yes")&amp;" of 13 optional sections, plus the fixed sections"</f>
        <v>10 of 13 optional sections, plus the fixed sections</v>
      </c>
    </row>
  </sheetData>
  <mergeCells count="1">
    <mergeCell ref="A3:B3"/>
  </mergeCells>
  <printOptions horizontalCentered="1"/>
  <pageMargins left="0.75" right="0.75" top="1" bottom="1" header="0.5" footer="0.5"/>
  <pageSetup paperSize="9" fitToHeight="0" orientation="portrait"/>
  <headerFooter>
    <oddFooter>&amp;L&amp;8 Generated by PATHWAYS&amp;R&amp;8 Page &amp;P of &amp;N</oddFooter>
  </headerFooter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100-000000000000}">
          <x14:formula1>
            <xm:f>Guide!$C$20:$G$20</xm:f>
          </x14:formula1>
          <xm:sqref>B8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356F"/>
    <pageSetUpPr fitToPage="1"/>
  </sheetPr>
  <dimension ref="A1:F22"/>
  <sheetViews>
    <sheetView showGridLines="0" workbookViewId="0"/>
  </sheetViews>
  <sheetFormatPr defaultRowHeight="14.4" x14ac:dyDescent="0.3"/>
  <cols>
    <col min="1" max="1" width="8" customWidth="1"/>
    <col min="2" max="2" width="38" customWidth="1"/>
    <col min="3" max="3" width="16" customWidth="1"/>
    <col min="4" max="4" width="18" customWidth="1"/>
    <col min="5" max="5" width="10" customWidth="1"/>
    <col min="6" max="6" width="40" customWidth="1"/>
  </cols>
  <sheetData>
    <row r="1" spans="1:6" x14ac:dyDescent="0.3">
      <c r="A1" s="12" t="str">
        <f>"PATHWAYS  |  "&amp;About!$B$7&amp;"  "&amp;About!$B$6&amp;"  |  "&amp;About!$B$8&amp;" report"</f>
        <v>PATHWAYS  |  CLP-2025-03  Coastal Livelihoods Project  |  Midterm report</v>
      </c>
    </row>
    <row r="2" spans="1:6" ht="28.05" customHeight="1" x14ac:dyDescent="0.4">
      <c r="A2" s="13" t="s">
        <v>42</v>
      </c>
      <c r="B2" s="3"/>
      <c r="C2" s="3"/>
      <c r="D2" s="3"/>
      <c r="E2" s="3"/>
      <c r="F2" s="3"/>
    </row>
    <row r="3" spans="1:6" x14ac:dyDescent="0.3">
      <c r="A3" s="74" t="s">
        <v>43</v>
      </c>
      <c r="B3" s="73"/>
      <c r="C3" s="73"/>
      <c r="D3" s="73"/>
      <c r="E3" s="73"/>
      <c r="F3" s="73"/>
    </row>
    <row r="5" spans="1:6" ht="22.05" customHeight="1" x14ac:dyDescent="0.3">
      <c r="A5" s="14" t="s">
        <v>44</v>
      </c>
      <c r="B5" s="14" t="s">
        <v>45</v>
      </c>
      <c r="C5" s="14" t="s">
        <v>46</v>
      </c>
      <c r="D5" s="14" t="s">
        <v>47</v>
      </c>
      <c r="E5" s="14" t="s">
        <v>48</v>
      </c>
      <c r="F5" s="14" t="s">
        <v>49</v>
      </c>
    </row>
    <row r="6" spans="1:6" x14ac:dyDescent="0.3">
      <c r="A6" s="24"/>
      <c r="B6" s="25" t="s">
        <v>50</v>
      </c>
      <c r="C6" s="25" t="s">
        <v>50</v>
      </c>
      <c r="D6" s="26" t="s">
        <v>51</v>
      </c>
      <c r="E6" s="24" t="s">
        <v>52</v>
      </c>
      <c r="F6" s="26"/>
    </row>
    <row r="7" spans="1:6" x14ac:dyDescent="0.3">
      <c r="A7" s="24"/>
      <c r="B7" s="25" t="s">
        <v>13</v>
      </c>
      <c r="C7" s="25" t="s">
        <v>53</v>
      </c>
      <c r="D7" s="26" t="s">
        <v>51</v>
      </c>
      <c r="E7" s="24" t="s">
        <v>52</v>
      </c>
      <c r="F7" s="26"/>
    </row>
    <row r="8" spans="1:6" x14ac:dyDescent="0.3">
      <c r="A8" s="24">
        <f>IF(E8="Yes",COUNTIF($E$8:E8,"Yes"),"-")</f>
        <v>1</v>
      </c>
      <c r="B8" s="25" t="s">
        <v>54</v>
      </c>
      <c r="C8" s="25" t="s">
        <v>55</v>
      </c>
      <c r="D8" s="26" t="str">
        <f>INDEX(Guide!$C$22:$G$34,1,MATCH(About!$B$8,Guide!$C$20:$G$20,0))</f>
        <v>Required</v>
      </c>
      <c r="E8" s="27" t="s">
        <v>52</v>
      </c>
      <c r="F8" s="26" t="str">
        <f t="shared" ref="F8:F20" si="0">IF(AND(D8="Required",E8&lt;&gt;"Yes"),"Required by this preset: set to Yes",IF(AND(D8="Not offered",E8="Yes"),"Not offered in this preset: set to No","OK"))</f>
        <v>OK</v>
      </c>
    </row>
    <row r="9" spans="1:6" x14ac:dyDescent="0.3">
      <c r="A9" s="24">
        <f>IF(E9="Yes",COUNTIF($E$8:E9,"Yes"),"-")</f>
        <v>2</v>
      </c>
      <c r="B9" s="25" t="s">
        <v>56</v>
      </c>
      <c r="C9" s="25" t="s">
        <v>57</v>
      </c>
      <c r="D9" s="26" t="str">
        <f>INDEX(Guide!$C$22:$G$34,2,MATCH(About!$B$8,Guide!$C$20:$G$20,0))</f>
        <v>Default</v>
      </c>
      <c r="E9" s="27" t="s">
        <v>52</v>
      </c>
      <c r="F9" s="26" t="str">
        <f t="shared" si="0"/>
        <v>OK</v>
      </c>
    </row>
    <row r="10" spans="1:6" x14ac:dyDescent="0.3">
      <c r="A10" s="24">
        <f>IF(E10="Yes",COUNTIF($E$8:E10,"Yes"),"-")</f>
        <v>3</v>
      </c>
      <c r="B10" s="25" t="s">
        <v>58</v>
      </c>
      <c r="C10" s="25" t="s">
        <v>59</v>
      </c>
      <c r="D10" s="26" t="str">
        <f>INDEX(Guide!$C$22:$G$34,3,MATCH(About!$B$8,Guide!$C$20:$G$20,0))</f>
        <v>Default</v>
      </c>
      <c r="E10" s="27" t="s">
        <v>52</v>
      </c>
      <c r="F10" s="26" t="str">
        <f t="shared" si="0"/>
        <v>OK</v>
      </c>
    </row>
    <row r="11" spans="1:6" x14ac:dyDescent="0.3">
      <c r="A11" s="24">
        <f>IF(E11="Yes",COUNTIF($E$8:E11,"Yes"),"-")</f>
        <v>4</v>
      </c>
      <c r="B11" s="25" t="s">
        <v>60</v>
      </c>
      <c r="C11" s="25" t="s">
        <v>61</v>
      </c>
      <c r="D11" s="26" t="str">
        <f>INDEX(Guide!$C$22:$G$34,4,MATCH(About!$B$8,Guide!$C$20:$G$20,0))</f>
        <v>Default</v>
      </c>
      <c r="E11" s="27" t="s">
        <v>52</v>
      </c>
      <c r="F11" s="26" t="str">
        <f t="shared" si="0"/>
        <v>OK</v>
      </c>
    </row>
    <row r="12" spans="1:6" x14ac:dyDescent="0.3">
      <c r="A12" s="24">
        <f>IF(E12="Yes",COUNTIF($E$8:E12,"Yes"),"-")</f>
        <v>5</v>
      </c>
      <c r="B12" s="25" t="s">
        <v>62</v>
      </c>
      <c r="C12" s="25" t="s">
        <v>63</v>
      </c>
      <c r="D12" s="26" t="str">
        <f>INDEX(Guide!$C$22:$G$34,5,MATCH(About!$B$8,Guide!$C$20:$G$20,0))</f>
        <v>Default</v>
      </c>
      <c r="E12" s="27" t="s">
        <v>52</v>
      </c>
      <c r="F12" s="26" t="str">
        <f t="shared" si="0"/>
        <v>OK</v>
      </c>
    </row>
    <row r="13" spans="1:6" x14ac:dyDescent="0.3">
      <c r="A13" s="24">
        <f>IF(E13="Yes",COUNTIF($E$8:E13,"Yes"),"-")</f>
        <v>6</v>
      </c>
      <c r="B13" s="25" t="s">
        <v>64</v>
      </c>
      <c r="C13" s="25" t="s">
        <v>65</v>
      </c>
      <c r="D13" s="26" t="str">
        <f>INDEX(Guide!$C$22:$G$34,6,MATCH(About!$B$8,Guide!$C$20:$G$20,0))</f>
        <v>Default</v>
      </c>
      <c r="E13" s="27" t="s">
        <v>52</v>
      </c>
      <c r="F13" s="26" t="str">
        <f t="shared" si="0"/>
        <v>OK</v>
      </c>
    </row>
    <row r="14" spans="1:6" x14ac:dyDescent="0.3">
      <c r="A14" s="24" t="str">
        <f>IF(E14="Yes",COUNTIF($E$8:E14,"Yes"),"-")</f>
        <v>-</v>
      </c>
      <c r="B14" s="25" t="s">
        <v>66</v>
      </c>
      <c r="C14" s="25" t="s">
        <v>67</v>
      </c>
      <c r="D14" s="26" t="str">
        <f>INDEX(Guide!$C$22:$G$34,7,MATCH(About!$B$8,Guide!$C$20:$G$20,0))</f>
        <v>Optional</v>
      </c>
      <c r="E14" s="27" t="s">
        <v>68</v>
      </c>
      <c r="F14" s="26" t="str">
        <f t="shared" si="0"/>
        <v>OK</v>
      </c>
    </row>
    <row r="15" spans="1:6" x14ac:dyDescent="0.3">
      <c r="A15" s="24">
        <f>IF(E15="Yes",COUNTIF($E$8:E15,"Yes"),"-")</f>
        <v>7</v>
      </c>
      <c r="B15" s="25" t="s">
        <v>69</v>
      </c>
      <c r="C15" s="25" t="s">
        <v>70</v>
      </c>
      <c r="D15" s="26" t="str">
        <f>INDEX(Guide!$C$22:$G$34,8,MATCH(About!$B$8,Guide!$C$20:$G$20,0))</f>
        <v>Default</v>
      </c>
      <c r="E15" s="27" t="s">
        <v>52</v>
      </c>
      <c r="F15" s="26" t="str">
        <f t="shared" si="0"/>
        <v>OK</v>
      </c>
    </row>
    <row r="16" spans="1:6" x14ac:dyDescent="0.3">
      <c r="A16" s="24">
        <f>IF(E16="Yes",COUNTIF($E$8:E16,"Yes"),"-")</f>
        <v>8</v>
      </c>
      <c r="B16" s="25" t="s">
        <v>71</v>
      </c>
      <c r="C16" s="25" t="s">
        <v>72</v>
      </c>
      <c r="D16" s="26" t="str">
        <f>INDEX(Guide!$C$22:$G$34,9,MATCH(About!$B$8,Guide!$C$20:$G$20,0))</f>
        <v>Default</v>
      </c>
      <c r="E16" s="27" t="s">
        <v>52</v>
      </c>
      <c r="F16" s="26" t="str">
        <f t="shared" si="0"/>
        <v>OK</v>
      </c>
    </row>
    <row r="17" spans="1:6" x14ac:dyDescent="0.3">
      <c r="A17" s="24">
        <f>IF(E17="Yes",COUNTIF($E$8:E17,"Yes"),"-")</f>
        <v>9</v>
      </c>
      <c r="B17" s="25" t="s">
        <v>73</v>
      </c>
      <c r="C17" s="25" t="s">
        <v>74</v>
      </c>
      <c r="D17" s="26" t="str">
        <f>INDEX(Guide!$C$22:$G$34,10,MATCH(About!$B$8,Guide!$C$20:$G$20,0))</f>
        <v>Default</v>
      </c>
      <c r="E17" s="27" t="s">
        <v>52</v>
      </c>
      <c r="F17" s="26" t="str">
        <f t="shared" si="0"/>
        <v>OK</v>
      </c>
    </row>
    <row r="18" spans="1:6" x14ac:dyDescent="0.3">
      <c r="A18" s="24">
        <f>IF(E18="Yes",COUNTIF($E$8:E18,"Yes"),"-")</f>
        <v>10</v>
      </c>
      <c r="B18" s="25" t="s">
        <v>75</v>
      </c>
      <c r="C18" s="25" t="s">
        <v>76</v>
      </c>
      <c r="D18" s="26" t="str">
        <f>INDEX(Guide!$C$22:$G$34,11,MATCH(About!$B$8,Guide!$C$20:$G$20,0))</f>
        <v>Default</v>
      </c>
      <c r="E18" s="27" t="s">
        <v>52</v>
      </c>
      <c r="F18" s="26" t="str">
        <f t="shared" si="0"/>
        <v>OK</v>
      </c>
    </row>
    <row r="19" spans="1:6" x14ac:dyDescent="0.3">
      <c r="A19" s="24" t="str">
        <f>IF(E19="Yes","A","-")</f>
        <v>-</v>
      </c>
      <c r="B19" s="25" t="s">
        <v>77</v>
      </c>
      <c r="C19" s="25" t="s">
        <v>78</v>
      </c>
      <c r="D19" s="26" t="str">
        <f>INDEX(Guide!$C$22:$G$34,12,MATCH(About!$B$8,Guide!$C$20:$G$20,0))</f>
        <v>Optional</v>
      </c>
      <c r="E19" s="27" t="s">
        <v>68</v>
      </c>
      <c r="F19" s="26" t="str">
        <f t="shared" si="0"/>
        <v>OK</v>
      </c>
    </row>
    <row r="20" spans="1:6" x14ac:dyDescent="0.3">
      <c r="A20" s="24" t="str">
        <f>IF(E20="Yes",IF(E19="Yes","B","A"),"-")</f>
        <v>-</v>
      </c>
      <c r="B20" s="25" t="s">
        <v>79</v>
      </c>
      <c r="C20" s="25" t="s">
        <v>80</v>
      </c>
      <c r="D20" s="26" t="str">
        <f>INDEX(Guide!$C$22:$G$34,13,MATCH(About!$B$8,Guide!$C$20:$G$20,0))</f>
        <v>Optional</v>
      </c>
      <c r="E20" s="27" t="s">
        <v>68</v>
      </c>
      <c r="F20" s="26" t="str">
        <f t="shared" si="0"/>
        <v>OK</v>
      </c>
    </row>
    <row r="21" spans="1:6" x14ac:dyDescent="0.3">
      <c r="A21" s="24" t="str">
        <f>CHAR(65+COUNTIF(E19:E20,"Yes"))</f>
        <v>A</v>
      </c>
      <c r="B21" s="25" t="s">
        <v>81</v>
      </c>
      <c r="C21" s="25" t="s">
        <v>82</v>
      </c>
      <c r="D21" s="26" t="s">
        <v>51</v>
      </c>
      <c r="E21" s="24" t="s">
        <v>52</v>
      </c>
      <c r="F21" s="26"/>
    </row>
    <row r="22" spans="1:6" x14ac:dyDescent="0.3">
      <c r="A22" s="24"/>
      <c r="B22" s="25" t="s">
        <v>83</v>
      </c>
      <c r="C22" s="25" t="s">
        <v>83</v>
      </c>
      <c r="D22" s="26" t="s">
        <v>51</v>
      </c>
      <c r="E22" s="24" t="s">
        <v>52</v>
      </c>
      <c r="F22" s="26"/>
    </row>
  </sheetData>
  <mergeCells count="1">
    <mergeCell ref="A3:F3"/>
  </mergeCells>
  <conditionalFormatting sqref="D8:F20">
    <cfRule type="cellIs" dxfId="91" priority="1" operator="equal">
      <formula>"On track"</formula>
    </cfRule>
    <cfRule type="cellIs" dxfId="90" priority="2" operator="equal">
      <formula>"Completed"</formula>
    </cfRule>
    <cfRule type="cellIs" dxfId="89" priority="3" operator="equal">
      <formula>"OK"</formula>
    </cfRule>
    <cfRule type="cellIs" dxfId="88" priority="4" operator="equal">
      <formula>"Approved"</formula>
    </cfRule>
    <cfRule type="cellIs" dxfId="87" priority="5" operator="equal">
      <formula>"Yes"</formula>
    </cfRule>
    <cfRule type="cellIs" dxfId="86" priority="6" operator="equal">
      <formula>"At risk"</formula>
    </cfRule>
    <cfRule type="cellIs" dxfId="85" priority="7" operator="equal">
      <formula>"Completed late"</formula>
    </cfRule>
    <cfRule type="cellIs" dxfId="84" priority="8" operator="equal">
      <formula>"Medium"</formula>
    </cfRule>
    <cfRule type="cellIs" dxfId="83" priority="9" operator="equal">
      <formula>"Proposed"</formula>
    </cfRule>
    <cfRule type="cellIs" dxfId="82" priority="10" operator="equal">
      <formula>"Off track"</formula>
    </cfRule>
    <cfRule type="cellIs" dxfId="81" priority="11" operator="equal">
      <formula>"Overdue"</formula>
    </cfRule>
    <cfRule type="cellIs" dxfId="80" priority="12" operator="equal">
      <formula>"High"</formula>
    </cfRule>
    <cfRule type="cellIs" dxfId="79" priority="13" operator="equal">
      <formula>"Required by this preset: set to Yes"</formula>
    </cfRule>
    <cfRule type="cellIs" dxfId="78" priority="14" operator="equal">
      <formula>"Not offered in this preset: set to No"</formula>
    </cfRule>
    <cfRule type="cellIs" dxfId="77" priority="15" operator="equal">
      <formula>"Not available"</formula>
    </cfRule>
    <cfRule type="cellIs" dxfId="76" priority="16" operator="equal">
      <formula>"Planned"</formula>
    </cfRule>
    <cfRule type="cellIs" dxfId="75" priority="17" operator="equal">
      <formula>"Not offered"</formula>
    </cfRule>
  </conditionalFormatting>
  <dataValidations count="1">
    <dataValidation type="list" sqref="E8:E20" xr:uid="{00000000-0002-0000-0200-000000000000}">
      <formula1>"Yes,No"</formula1>
    </dataValidation>
  </dataValidations>
  <printOptions horizontalCentered="1"/>
  <pageMargins left="0.75" right="0.75" top="1" bottom="1" header="0.5" footer="0.5"/>
  <pageSetup paperSize="9" fitToHeight="0" orientation="portrait"/>
  <headerFooter>
    <oddFooter>&amp;L&amp;8 Generated by PATHWAYS&amp;R&amp;8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DB8DA"/>
    <pageSetUpPr fitToPage="1"/>
  </sheetPr>
  <dimension ref="A1:D18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28" customWidth="1"/>
    <col min="2" max="2" width="14" customWidth="1"/>
    <col min="3" max="3" width="40" customWidth="1"/>
    <col min="4" max="4" width="18" customWidth="1"/>
  </cols>
  <sheetData>
    <row r="1" spans="1:4" x14ac:dyDescent="0.3">
      <c r="A1" s="12" t="str">
        <f>"PATHWAYS  |  "&amp;About!$B$7&amp;"  "&amp;About!$B$6&amp;"  |  "&amp;About!$B$8&amp;" report"</f>
        <v>PATHWAYS  |  CLP-2025-03  Coastal Livelihoods Project  |  Midterm report</v>
      </c>
    </row>
    <row r="2" spans="1:4" ht="28.05" customHeight="1" x14ac:dyDescent="0.4">
      <c r="A2" s="13" t="str">
        <f>IF(Contents!$E$8="Yes",Contents!$A$8&amp;"   ","[Not included]   ")&amp;"Executive summary"</f>
        <v>1   Executive summary</v>
      </c>
      <c r="B2" s="3"/>
      <c r="C2" s="3"/>
      <c r="D2" s="3"/>
    </row>
    <row r="3" spans="1:4" x14ac:dyDescent="0.3">
      <c r="A3" s="74" t="s">
        <v>84</v>
      </c>
      <c r="B3" s="73"/>
      <c r="C3" s="73"/>
      <c r="D3" s="73"/>
    </row>
    <row r="5" spans="1:4" x14ac:dyDescent="0.3">
      <c r="A5" s="28" t="s">
        <v>85</v>
      </c>
      <c r="B5" s="29" t="str">
        <f>IF(COUNTIF('3 Status'!B6:B9,"Off track")&gt;0,"Off track",IF(COUNTIF('3 Status'!B6:B9,"At risk")&gt;0,"At risk","On track"))</f>
        <v>At risk</v>
      </c>
      <c r="C5" s="11" t="s">
        <v>86</v>
      </c>
    </row>
    <row r="7" spans="1:4" x14ac:dyDescent="0.3">
      <c r="A7" s="30" t="s">
        <v>87</v>
      </c>
    </row>
    <row r="8" spans="1:4" ht="22.05" customHeight="1" x14ac:dyDescent="0.3">
      <c r="A8" s="14" t="s">
        <v>88</v>
      </c>
      <c r="B8" s="14" t="s">
        <v>16</v>
      </c>
      <c r="C8" s="14" t="s">
        <v>89</v>
      </c>
      <c r="D8" s="14" t="s">
        <v>90</v>
      </c>
    </row>
    <row r="9" spans="1:4" x14ac:dyDescent="0.3">
      <c r="A9" s="25" t="s">
        <v>30</v>
      </c>
      <c r="B9" s="31">
        <f>About!$B$14</f>
        <v>0.4993141289437586</v>
      </c>
      <c r="C9" s="26" t="str">
        <f>TEXT(About!$B$12,"d mmm yyyy")&amp;" to "&amp;TEXT(About!$B$13,"d mmm yyyy")</f>
        <v>1 Oct 2025 to 30 Sep 2027</v>
      </c>
      <c r="D9" s="32"/>
    </row>
    <row r="10" spans="1:4" x14ac:dyDescent="0.3">
      <c r="A10" s="25" t="s">
        <v>91</v>
      </c>
      <c r="B10" s="31">
        <f>'8 Budget'!$D$11</f>
        <v>0.46</v>
      </c>
      <c r="C10" s="26" t="str">
        <f>"PHP "&amp;TEXT('8 Budget'!C11,"#,##0")&amp;" of "&amp;TEXT('8 Budget'!B11,"#,##0")</f>
        <v>PHP 5,520,000 of 12,000,000</v>
      </c>
      <c r="D10" s="32">
        <f>B10-B9</f>
        <v>-3.9314128943758575E-2</v>
      </c>
    </row>
    <row r="11" spans="1:4" x14ac:dyDescent="0.3">
      <c r="A11" s="25" t="s">
        <v>92</v>
      </c>
      <c r="B11" s="31">
        <f>'4 Indicators'!$H$13</f>
        <v>0.46500000000000002</v>
      </c>
      <c r="C11" s="26" t="s">
        <v>93</v>
      </c>
      <c r="D11" s="32">
        <f>B11-B9</f>
        <v>-3.4314128943758571E-2</v>
      </c>
    </row>
    <row r="12" spans="1:4" x14ac:dyDescent="0.3">
      <c r="A12" s="25" t="s">
        <v>94</v>
      </c>
      <c r="B12" s="33">
        <f>'6 Reach'!$C$20</f>
        <v>742</v>
      </c>
      <c r="C12" s="26" t="str">
        <f>TEXT('6 Reach'!$C$31,"0%")&amp;" of "&amp;TEXT('2 Background'!$B$15,"#,##0")&amp;" target"</f>
        <v>62% of 1,200 target</v>
      </c>
      <c r="D12" s="32">
        <f>'6 Reach'!$C$31-B9</f>
        <v>0.1190192043895747</v>
      </c>
    </row>
    <row r="14" spans="1:4" x14ac:dyDescent="0.3">
      <c r="A14" s="30" t="s">
        <v>95</v>
      </c>
    </row>
    <row r="15" spans="1:4" ht="48" customHeight="1" x14ac:dyDescent="0.3">
      <c r="A15" s="75" t="str">
        <f>"As of "&amp;TEXT(About!$B$11,"d mmm yyyy")&amp;", the project is "&amp;TEXT(B9,"0%")&amp;" through its timeline, has used "&amp;TEXT(B10,"0%")&amp;" of its approved budget, has reached "&amp;TEXT(B12,"#,##0")&amp;" beneficiaries ("&amp;TEXT('6 Reach'!$C$31,"0%")&amp;" of target), and averages "&amp;TEXT(B11,"0%")&amp;" progress across its indicators."</f>
        <v>As of 30 Sep 2026, the project is 50% through its timeline, has used 46% of its approved budget, has reached 742 beneficiaries (62% of target), and averages 47% progress across its indicators.</v>
      </c>
      <c r="B15" s="76"/>
      <c r="C15" s="76"/>
      <c r="D15" s="76"/>
    </row>
    <row r="17" spans="1:4" x14ac:dyDescent="0.3">
      <c r="A17" s="30" t="s">
        <v>96</v>
      </c>
    </row>
    <row r="18" spans="1:4" ht="109.95" customHeight="1" x14ac:dyDescent="0.3">
      <c r="A18" s="77" t="s">
        <v>97</v>
      </c>
      <c r="B18" s="76"/>
      <c r="C18" s="76"/>
      <c r="D18" s="76"/>
    </row>
  </sheetData>
  <mergeCells count="3">
    <mergeCell ref="A15:D15"/>
    <mergeCell ref="A18:D18"/>
    <mergeCell ref="A3:D3"/>
  </mergeCells>
  <conditionalFormatting sqref="B5">
    <cfRule type="cellIs" dxfId="74" priority="1" operator="equal">
      <formula>"On track"</formula>
    </cfRule>
    <cfRule type="cellIs" dxfId="73" priority="2" operator="equal">
      <formula>"Completed"</formula>
    </cfRule>
    <cfRule type="cellIs" dxfId="72" priority="3" operator="equal">
      <formula>"OK"</formula>
    </cfRule>
    <cfRule type="cellIs" dxfId="71" priority="4" operator="equal">
      <formula>"Approved"</formula>
    </cfRule>
    <cfRule type="cellIs" dxfId="70" priority="5" operator="equal">
      <formula>"At risk"</formula>
    </cfRule>
    <cfRule type="cellIs" dxfId="69" priority="6" operator="equal">
      <formula>"Completed late"</formula>
    </cfRule>
    <cfRule type="cellIs" dxfId="68" priority="7" operator="equal">
      <formula>"Medium"</formula>
    </cfRule>
    <cfRule type="cellIs" dxfId="67" priority="8" operator="equal">
      <formula>"Proposed"</formula>
    </cfRule>
    <cfRule type="cellIs" dxfId="66" priority="9" operator="equal">
      <formula>"Off track"</formula>
    </cfRule>
    <cfRule type="cellIs" dxfId="65" priority="10" operator="equal">
      <formula>"Overdue"</formula>
    </cfRule>
    <cfRule type="cellIs" dxfId="64" priority="11" operator="equal">
      <formula>"High"</formula>
    </cfRule>
    <cfRule type="cellIs" dxfId="63" priority="12" operator="equal">
      <formula>"Required by this preset: set to Yes"</formula>
    </cfRule>
    <cfRule type="cellIs" dxfId="62" priority="13" operator="equal">
      <formula>"Not offered in this preset: set to No"</formula>
    </cfRule>
    <cfRule type="cellIs" dxfId="61" priority="14" operator="equal">
      <formula>"Not available"</formula>
    </cfRule>
    <cfRule type="cellIs" dxfId="60" priority="15" operator="equal">
      <formula>"Planned"</formula>
    </cfRule>
  </conditionalFormatting>
  <printOptions horizontalCentered="1"/>
  <pageMargins left="0.75" right="0.75" top="1" bottom="1" header="0.5" footer="0.5"/>
  <pageSetup paperSize="9" fitToHeight="0" orientation="portrait"/>
  <headerFooter>
    <oddFooter>&amp;L&amp;8 Generated by PATHWAYS&amp;R&amp;8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DB8DA"/>
    <pageSetUpPr fitToPage="1"/>
  </sheetPr>
  <dimension ref="A1:B18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30" customWidth="1"/>
    <col min="2" max="2" width="70" customWidth="1"/>
  </cols>
  <sheetData>
    <row r="1" spans="1:2" x14ac:dyDescent="0.3">
      <c r="A1" s="12" t="str">
        <f>"PATHWAYS  |  "&amp;About!$B$7&amp;"  "&amp;About!$B$6&amp;"  |  "&amp;About!$B$8&amp;" report"</f>
        <v>PATHWAYS  |  CLP-2025-03  Coastal Livelihoods Project  |  Midterm report</v>
      </c>
    </row>
    <row r="2" spans="1:2" ht="28.05" customHeight="1" x14ac:dyDescent="0.4">
      <c r="A2" s="13" t="str">
        <f>IF(Contents!$E$9="Yes",Contents!$A$9&amp;"   ","[Not included]   ")&amp;"Project background"</f>
        <v>2   Project background</v>
      </c>
      <c r="B2" s="3"/>
    </row>
    <row r="3" spans="1:2" x14ac:dyDescent="0.3">
      <c r="A3" s="74" t="s">
        <v>98</v>
      </c>
      <c r="B3" s="73"/>
    </row>
    <row r="5" spans="1:2" ht="22.05" customHeight="1" x14ac:dyDescent="0.3">
      <c r="A5" s="14" t="s">
        <v>15</v>
      </c>
      <c r="B5" s="14" t="s">
        <v>89</v>
      </c>
    </row>
    <row r="6" spans="1:2" x14ac:dyDescent="0.3">
      <c r="A6" s="15" t="s">
        <v>21</v>
      </c>
      <c r="B6" s="23" t="str">
        <f>About!B7</f>
        <v>CLP-2025-03</v>
      </c>
    </row>
    <row r="7" spans="1:2" x14ac:dyDescent="0.3">
      <c r="A7" s="15" t="s">
        <v>19</v>
      </c>
      <c r="B7" s="23" t="str">
        <f>About!B6</f>
        <v>Coastal Livelihoods Project</v>
      </c>
    </row>
    <row r="8" spans="1:2" x14ac:dyDescent="0.3">
      <c r="A8" s="15" t="s">
        <v>7</v>
      </c>
      <c r="B8" s="17" t="s">
        <v>99</v>
      </c>
    </row>
    <row r="9" spans="1:2" x14ac:dyDescent="0.3">
      <c r="A9" s="15" t="s">
        <v>100</v>
      </c>
      <c r="B9" s="17" t="s">
        <v>101</v>
      </c>
    </row>
    <row r="10" spans="1:2" x14ac:dyDescent="0.3">
      <c r="A10" s="15" t="s">
        <v>102</v>
      </c>
      <c r="B10" s="17" t="s">
        <v>103</v>
      </c>
    </row>
    <row r="11" spans="1:2" x14ac:dyDescent="0.3">
      <c r="A11" s="15" t="s">
        <v>104</v>
      </c>
      <c r="B11" s="35">
        <f>About!B12</f>
        <v>45931</v>
      </c>
    </row>
    <row r="12" spans="1:2" x14ac:dyDescent="0.3">
      <c r="A12" s="15" t="s">
        <v>105</v>
      </c>
      <c r="B12" s="35">
        <f>About!B13</f>
        <v>46660</v>
      </c>
    </row>
    <row r="13" spans="1:2" x14ac:dyDescent="0.3">
      <c r="A13" s="15" t="s">
        <v>106</v>
      </c>
      <c r="B13" s="17" t="s">
        <v>107</v>
      </c>
    </row>
    <row r="14" spans="1:2" x14ac:dyDescent="0.3">
      <c r="A14" s="15" t="s">
        <v>108</v>
      </c>
      <c r="B14" s="17" t="s">
        <v>109</v>
      </c>
    </row>
    <row r="15" spans="1:2" x14ac:dyDescent="0.3">
      <c r="A15" s="15" t="s">
        <v>110</v>
      </c>
      <c r="B15" s="36">
        <v>1200</v>
      </c>
    </row>
    <row r="17" spans="1:2" x14ac:dyDescent="0.3">
      <c r="A17" s="28" t="s">
        <v>111</v>
      </c>
    </row>
    <row r="18" spans="1:2" ht="60" customHeight="1" x14ac:dyDescent="0.3">
      <c r="A18" s="78" t="s">
        <v>112</v>
      </c>
      <c r="B18" s="76"/>
    </row>
  </sheetData>
  <mergeCells count="2">
    <mergeCell ref="A18:B18"/>
    <mergeCell ref="A3:B3"/>
  </mergeCells>
  <printOptions horizontalCentered="1"/>
  <pageMargins left="0.75" right="0.75" top="1" bottom="1" header="0.5" footer="0.5"/>
  <pageSetup paperSize="9" fitToHeight="0" orientation="portrait"/>
  <headerFooter>
    <oddFooter>&amp;L&amp;8 Generated by PATHWAYS&amp;R&amp;8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DB8DA"/>
    <pageSetUpPr fitToPage="1"/>
  </sheetPr>
  <dimension ref="A1:D10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6" customWidth="1"/>
    <col min="2" max="2" width="14" customWidth="1"/>
    <col min="3" max="3" width="46" customWidth="1"/>
    <col min="4" max="4" width="50" customWidth="1"/>
  </cols>
  <sheetData>
    <row r="1" spans="1:4" x14ac:dyDescent="0.3">
      <c r="A1" s="12" t="str">
        <f>"PATHWAYS  |  "&amp;About!$B$7&amp;"  "&amp;About!$B$6&amp;"  |  "&amp;About!$B$8&amp;" report"</f>
        <v>PATHWAYS  |  CLP-2025-03  Coastal Livelihoods Project  |  Midterm report</v>
      </c>
    </row>
    <row r="2" spans="1:4" ht="28.05" customHeight="1" x14ac:dyDescent="0.4">
      <c r="A2" s="13" t="str">
        <f>IF(Contents!$E$10="Yes",Contents!$A$10&amp;"   ","[Not included]   ")&amp;"Status overview"</f>
        <v>3   Status overview</v>
      </c>
      <c r="B2" s="3"/>
      <c r="C2" s="3"/>
      <c r="D2" s="3"/>
    </row>
    <row r="3" spans="1:4" x14ac:dyDescent="0.3">
      <c r="A3" s="74" t="s">
        <v>113</v>
      </c>
      <c r="B3" s="73"/>
      <c r="C3" s="73"/>
      <c r="D3" s="73"/>
    </row>
    <row r="5" spans="1:4" ht="22.05" customHeight="1" x14ac:dyDescent="0.3">
      <c r="A5" s="14" t="s">
        <v>114</v>
      </c>
      <c r="B5" s="14" t="s">
        <v>7</v>
      </c>
      <c r="C5" s="14" t="s">
        <v>115</v>
      </c>
      <c r="D5" s="14" t="s">
        <v>116</v>
      </c>
    </row>
    <row r="6" spans="1:4" x14ac:dyDescent="0.3">
      <c r="A6" s="25" t="s">
        <v>117</v>
      </c>
      <c r="B6" s="26" t="str">
        <f>IF('5 Activities'!$B$16&gt;30,"Off track",IF('5 Activities'!$B$16&gt;0,"At risk","On track"))</f>
        <v>At risk</v>
      </c>
      <c r="C6" s="26" t="str">
        <f>"Longest overdue milestone: "&amp;'5 Activities'!$B$16&amp;" days"</f>
        <v>Longest overdue milestone: 18 days</v>
      </c>
      <c r="D6" s="37" t="s">
        <v>118</v>
      </c>
    </row>
    <row r="7" spans="1:4" x14ac:dyDescent="0.3">
      <c r="A7" s="25" t="s">
        <v>119</v>
      </c>
      <c r="B7" s="26" t="str">
        <f>IF('8 Budget'!$D$11&gt;1,"Off track",IF('8 Budget'!$D$11-About!$B$14&gt;0.15,"At risk","On track"))</f>
        <v>On track</v>
      </c>
      <c r="C7" s="26" t="str">
        <f>TEXT('8 Budget'!$D$11,"0%")&amp;" used vs "&amp;TEXT(About!$B$14,"0%")&amp;" of timeline elapsed"</f>
        <v>46% used vs 50% of timeline elapsed</v>
      </c>
      <c r="D7" s="37" t="s">
        <v>120</v>
      </c>
    </row>
    <row r="8" spans="1:4" x14ac:dyDescent="0.3">
      <c r="A8" s="25" t="s">
        <v>121</v>
      </c>
      <c r="B8" s="26" t="str">
        <f>IF(About!$B$14-'4 Indicators'!$H$13&gt;0.25,"Off track",IF(About!$B$14-'4 Indicators'!$H$13&gt;0.1,"At risk","On track"))</f>
        <v>On track</v>
      </c>
      <c r="C8" s="26" t="str">
        <f>"Average indicator progress "&amp;TEXT('4 Indicators'!$H$13,"0%")&amp;" vs "&amp;TEXT(About!$B$14,"0%")&amp;" elapsed"</f>
        <v>Average indicator progress 47% vs 50% elapsed</v>
      </c>
      <c r="D8" s="37" t="s">
        <v>122</v>
      </c>
    </row>
    <row r="9" spans="1:4" x14ac:dyDescent="0.3">
      <c r="A9" s="25" t="s">
        <v>123</v>
      </c>
      <c r="B9" s="26" t="str">
        <f>IF(About!$B$14-'6 Reach'!$C$31&gt;0.25,"Off track",IF(About!$B$14-'6 Reach'!$C$31&gt;0.1,"At risk","On track"))</f>
        <v>On track</v>
      </c>
      <c r="C9" s="26" t="str">
        <f>TEXT('6 Reach'!$C$31,"0%")&amp;" of target reached vs "&amp;TEXT(About!$B$14,"0%")&amp;" elapsed"</f>
        <v>62% of target reached vs 50% elapsed</v>
      </c>
      <c r="D9" s="37" t="s">
        <v>124</v>
      </c>
    </row>
    <row r="10" spans="1:4" x14ac:dyDescent="0.3">
      <c r="A10" s="38" t="s">
        <v>125</v>
      </c>
    </row>
  </sheetData>
  <mergeCells count="1">
    <mergeCell ref="A3:D3"/>
  </mergeCells>
  <conditionalFormatting sqref="B6:B9">
    <cfRule type="cellIs" dxfId="59" priority="1" operator="equal">
      <formula>"On track"</formula>
    </cfRule>
    <cfRule type="cellIs" dxfId="58" priority="2" operator="equal">
      <formula>"Completed"</formula>
    </cfRule>
    <cfRule type="cellIs" dxfId="57" priority="3" operator="equal">
      <formula>"OK"</formula>
    </cfRule>
    <cfRule type="cellIs" dxfId="56" priority="4" operator="equal">
      <formula>"Approved"</formula>
    </cfRule>
    <cfRule type="cellIs" dxfId="55" priority="5" operator="equal">
      <formula>"At risk"</formula>
    </cfRule>
    <cfRule type="cellIs" dxfId="54" priority="6" operator="equal">
      <formula>"Completed late"</formula>
    </cfRule>
    <cfRule type="cellIs" dxfId="53" priority="7" operator="equal">
      <formula>"Medium"</formula>
    </cfRule>
    <cfRule type="cellIs" dxfId="52" priority="8" operator="equal">
      <formula>"Proposed"</formula>
    </cfRule>
    <cfRule type="cellIs" dxfId="51" priority="9" operator="equal">
      <formula>"Off track"</formula>
    </cfRule>
    <cfRule type="cellIs" dxfId="50" priority="10" operator="equal">
      <formula>"Overdue"</formula>
    </cfRule>
    <cfRule type="cellIs" dxfId="49" priority="11" operator="equal">
      <formula>"High"</formula>
    </cfRule>
    <cfRule type="cellIs" dxfId="48" priority="12" operator="equal">
      <formula>"Required by this preset: set to Yes"</formula>
    </cfRule>
    <cfRule type="cellIs" dxfId="47" priority="13" operator="equal">
      <formula>"Not offered in this preset: set to No"</formula>
    </cfRule>
    <cfRule type="cellIs" dxfId="46" priority="14" operator="equal">
      <formula>"Not available"</formula>
    </cfRule>
    <cfRule type="cellIs" dxfId="45" priority="15" operator="equal">
      <formula>"Planned"</formula>
    </cfRule>
  </conditionalFormatting>
  <printOptions horizontalCentered="1"/>
  <pageMargins left="0.75" right="0.75" top="1" bottom="1" header="0.5" footer="0.5"/>
  <pageSetup paperSize="9" fitToHeight="0" orientation="portrait"/>
  <headerFooter>
    <oddFooter>&amp;L&amp;8 Generated by PATHWAYS&amp;R&amp;8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DB8DA"/>
    <pageSetUpPr fitToPage="1"/>
  </sheetPr>
  <dimension ref="A1:J14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8" customWidth="1"/>
    <col min="2" max="2" width="44" customWidth="1"/>
    <col min="3" max="3" width="11" customWidth="1"/>
    <col min="4" max="4" width="10" customWidth="1"/>
    <col min="5" max="8" width="11" customWidth="1"/>
    <col min="9" max="9" width="13" customWidth="1"/>
    <col min="10" max="10" width="50" customWidth="1"/>
  </cols>
  <sheetData>
    <row r="1" spans="1:10" x14ac:dyDescent="0.3">
      <c r="A1" s="12" t="str">
        <f>"PATHWAYS  |  "&amp;About!$B$7&amp;"  "&amp;About!$B$6&amp;"  |  "&amp;About!$B$8&amp;" report"</f>
        <v>PATHWAYS  |  CLP-2025-03  Coastal Livelihoods Project  |  Midterm report</v>
      </c>
    </row>
    <row r="2" spans="1:10" ht="28.05" customHeight="1" x14ac:dyDescent="0.4">
      <c r="A2" s="13" t="str">
        <f>IF(Contents!$E$11="Yes",Contents!$A$11&amp;"   ","[Not included]   ")&amp;"Results and indicator performance"</f>
        <v>4   Results and indicator performance</v>
      </c>
      <c r="B2" s="3"/>
      <c r="C2" s="3"/>
      <c r="D2" s="3"/>
      <c r="E2" s="3"/>
      <c r="F2" s="3"/>
      <c r="G2" s="3"/>
      <c r="H2" s="3"/>
      <c r="I2" s="3"/>
      <c r="J2" s="3"/>
    </row>
    <row r="3" spans="1:10" x14ac:dyDescent="0.3">
      <c r="A3" s="74" t="s">
        <v>126</v>
      </c>
      <c r="B3" s="73"/>
      <c r="C3" s="73"/>
      <c r="D3" s="73"/>
      <c r="E3" s="73"/>
      <c r="F3" s="73"/>
      <c r="G3" s="73"/>
      <c r="H3" s="73"/>
      <c r="I3" s="73"/>
      <c r="J3" s="73"/>
    </row>
    <row r="5" spans="1:10" ht="22.05" customHeight="1" x14ac:dyDescent="0.3">
      <c r="A5" s="14" t="s">
        <v>127</v>
      </c>
      <c r="B5" s="14" t="s">
        <v>128</v>
      </c>
      <c r="C5" s="14" t="s">
        <v>129</v>
      </c>
      <c r="D5" s="14" t="s">
        <v>130</v>
      </c>
      <c r="E5" s="14" t="s">
        <v>131</v>
      </c>
      <c r="F5" s="14" t="s">
        <v>132</v>
      </c>
      <c r="G5" s="14" t="s">
        <v>133</v>
      </c>
      <c r="H5" s="14" t="s">
        <v>134</v>
      </c>
      <c r="I5" s="14" t="s">
        <v>7</v>
      </c>
      <c r="J5" s="14" t="s">
        <v>135</v>
      </c>
    </row>
    <row r="6" spans="1:10" ht="26.4" x14ac:dyDescent="0.3">
      <c r="A6" s="39" t="s">
        <v>136</v>
      </c>
      <c r="B6" s="39" t="s">
        <v>137</v>
      </c>
      <c r="C6" s="39" t="s">
        <v>138</v>
      </c>
      <c r="D6" s="39" t="s">
        <v>139</v>
      </c>
      <c r="E6" s="40">
        <v>0</v>
      </c>
      <c r="F6" s="40">
        <v>0.6</v>
      </c>
      <c r="G6" s="40">
        <v>0.22</v>
      </c>
      <c r="H6" s="31">
        <f t="shared" ref="H6:H11" si="0">IF(F6=E6,"Not available",(G6-E6)/(F6-E6))</f>
        <v>0.3666666666666667</v>
      </c>
      <c r="I6" s="26" t="str">
        <f>IF(ISNUMBER(H6),IF(About!$B$14-H6&gt;0.25,"Off track",IF(About!$B$14-H6&gt;0.1,"At risk","On track")),"Not available")</f>
        <v>At risk</v>
      </c>
      <c r="J6" s="34" t="s">
        <v>140</v>
      </c>
    </row>
    <row r="7" spans="1:10" ht="26.4" x14ac:dyDescent="0.3">
      <c r="A7" s="39" t="s">
        <v>141</v>
      </c>
      <c r="B7" s="39" t="s">
        <v>142</v>
      </c>
      <c r="C7" s="39" t="s">
        <v>138</v>
      </c>
      <c r="D7" s="39" t="s">
        <v>143</v>
      </c>
      <c r="E7" s="41">
        <v>0</v>
      </c>
      <c r="F7" s="41">
        <v>150</v>
      </c>
      <c r="G7" s="41">
        <v>35</v>
      </c>
      <c r="H7" s="31">
        <f t="shared" si="0"/>
        <v>0.23333333333333334</v>
      </c>
      <c r="I7" s="26" t="str">
        <f>IF(ISNUMBER(H7),IF(About!$B$14-H7&gt;0.25,"Off track",IF(About!$B$14-H7&gt;0.1,"At risk","On track")),"Not available")</f>
        <v>Off track</v>
      </c>
      <c r="J7" s="34" t="s">
        <v>140</v>
      </c>
    </row>
    <row r="8" spans="1:10" x14ac:dyDescent="0.3">
      <c r="A8" s="39" t="s">
        <v>144</v>
      </c>
      <c r="B8" s="39" t="s">
        <v>145</v>
      </c>
      <c r="C8" s="39" t="s">
        <v>146</v>
      </c>
      <c r="D8" s="39" t="s">
        <v>143</v>
      </c>
      <c r="E8" s="41">
        <v>0</v>
      </c>
      <c r="F8" s="41">
        <v>900</v>
      </c>
      <c r="G8" s="41">
        <v>612</v>
      </c>
      <c r="H8" s="31">
        <f t="shared" si="0"/>
        <v>0.68</v>
      </c>
      <c r="I8" s="26" t="str">
        <f>IF(ISNUMBER(H8),IF(About!$B$14-H8&gt;0.25,"Off track",IF(About!$B$14-H8&gt;0.1,"At risk","On track")),"Not available")</f>
        <v>On track</v>
      </c>
      <c r="J8" s="37"/>
    </row>
    <row r="9" spans="1:10" x14ac:dyDescent="0.3">
      <c r="A9" s="39" t="s">
        <v>147</v>
      </c>
      <c r="B9" s="39" t="s">
        <v>148</v>
      </c>
      <c r="C9" s="39" t="s">
        <v>146</v>
      </c>
      <c r="D9" s="39" t="s">
        <v>143</v>
      </c>
      <c r="E9" s="41">
        <v>0</v>
      </c>
      <c r="F9" s="41">
        <v>40</v>
      </c>
      <c r="G9" s="41">
        <v>26</v>
      </c>
      <c r="H9" s="31">
        <f t="shared" si="0"/>
        <v>0.65</v>
      </c>
      <c r="I9" s="26" t="str">
        <f>IF(ISNUMBER(H9),IF(About!$B$14-H9&gt;0.25,"Off track",IF(About!$B$14-H9&gt;0.1,"At risk","On track")),"Not available")</f>
        <v>On track</v>
      </c>
      <c r="J9" s="37"/>
    </row>
    <row r="10" spans="1:10" ht="26.4" x14ac:dyDescent="0.3">
      <c r="A10" s="39" t="s">
        <v>149</v>
      </c>
      <c r="B10" s="39" t="s">
        <v>150</v>
      </c>
      <c r="C10" s="39" t="s">
        <v>146</v>
      </c>
      <c r="D10" s="39" t="s">
        <v>143</v>
      </c>
      <c r="E10" s="41">
        <v>0</v>
      </c>
      <c r="F10" s="41">
        <v>300</v>
      </c>
      <c r="G10" s="41">
        <v>118</v>
      </c>
      <c r="H10" s="31">
        <f t="shared" si="0"/>
        <v>0.39333333333333331</v>
      </c>
      <c r="I10" s="26" t="str">
        <f>IF(ISNUMBER(H10),IF(About!$B$14-H10&gt;0.25,"Off track",IF(About!$B$14-H10&gt;0.1,"At risk","On track")),"Not available")</f>
        <v>At risk</v>
      </c>
      <c r="J10" s="42" t="s">
        <v>151</v>
      </c>
    </row>
    <row r="11" spans="1:10" x14ac:dyDescent="0.3">
      <c r="A11" s="39" t="s">
        <v>152</v>
      </c>
      <c r="B11" s="39" t="s">
        <v>153</v>
      </c>
      <c r="C11" s="39" t="s">
        <v>154</v>
      </c>
      <c r="D11" s="39" t="s">
        <v>139</v>
      </c>
      <c r="E11" s="40">
        <v>0</v>
      </c>
      <c r="F11" s="40">
        <v>1</v>
      </c>
      <c r="G11" s="31">
        <f>'5 Activities'!B15</f>
        <v>0.46666666666666667</v>
      </c>
      <c r="H11" s="31">
        <f t="shared" si="0"/>
        <v>0.46666666666666667</v>
      </c>
      <c r="I11" s="26" t="str">
        <f>IF(ISNUMBER(H11),IF(About!$B$14-H11&gt;0.25,"Off track",IF(About!$B$14-H11&gt;0.1,"At risk","On track")),"Not available")</f>
        <v>On track</v>
      </c>
      <c r="J11" s="37"/>
    </row>
    <row r="13" spans="1:10" x14ac:dyDescent="0.3">
      <c r="A13" s="30" t="s">
        <v>155</v>
      </c>
      <c r="H13" s="43">
        <f>AVERAGE(H6:H11)</f>
        <v>0.46500000000000002</v>
      </c>
      <c r="I13" s="44" t="str">
        <f>IF(About!$B$14-H13&gt;0.25,"Off track",IF(About!$B$14-H13&gt;0.1,"At risk","On track"))</f>
        <v>On track</v>
      </c>
    </row>
    <row r="14" spans="1:10" x14ac:dyDescent="0.3">
      <c r="A14" s="38" t="str">
        <f>"Source: indicator measurements and derived activity completion, "&amp;TEXT(About!$B$9,"d mmm yyyy")&amp;" to "&amp;TEXT(About!$B$10,"d mmm yyyy")&amp;". Status compares progress with timeline elapsed ("&amp;TEXT(About!$B$14,"0%")&amp;")."</f>
        <v>Source: indicator measurements and derived activity completion, 1 Oct 2025 to 30 Sep 2026. Status compares progress with timeline elapsed (50%).</v>
      </c>
    </row>
  </sheetData>
  <mergeCells count="1">
    <mergeCell ref="A3:J3"/>
  </mergeCells>
  <conditionalFormatting sqref="I6:I13">
    <cfRule type="cellIs" dxfId="44" priority="1" operator="equal">
      <formula>"On track"</formula>
    </cfRule>
    <cfRule type="cellIs" dxfId="43" priority="2" operator="equal">
      <formula>"Completed"</formula>
    </cfRule>
    <cfRule type="cellIs" dxfId="42" priority="3" operator="equal">
      <formula>"OK"</formula>
    </cfRule>
    <cfRule type="cellIs" dxfId="41" priority="4" operator="equal">
      <formula>"Approved"</formula>
    </cfRule>
    <cfRule type="cellIs" dxfId="40" priority="5" operator="equal">
      <formula>"At risk"</formula>
    </cfRule>
    <cfRule type="cellIs" dxfId="39" priority="6" operator="equal">
      <formula>"Completed late"</formula>
    </cfRule>
    <cfRule type="cellIs" dxfId="38" priority="7" operator="equal">
      <formula>"Medium"</formula>
    </cfRule>
    <cfRule type="cellIs" dxfId="37" priority="8" operator="equal">
      <formula>"Proposed"</formula>
    </cfRule>
    <cfRule type="cellIs" dxfId="36" priority="9" operator="equal">
      <formula>"Off track"</formula>
    </cfRule>
    <cfRule type="cellIs" dxfId="35" priority="10" operator="equal">
      <formula>"Overdue"</formula>
    </cfRule>
    <cfRule type="cellIs" dxfId="34" priority="11" operator="equal">
      <formula>"High"</formula>
    </cfRule>
    <cfRule type="cellIs" dxfId="33" priority="12" operator="equal">
      <formula>"Required by this preset: set to Yes"</formula>
    </cfRule>
    <cfRule type="cellIs" dxfId="32" priority="13" operator="equal">
      <formula>"Not offered in this preset: set to No"</formula>
    </cfRule>
    <cfRule type="cellIs" dxfId="31" priority="14" operator="equal">
      <formula>"Not available"</formula>
    </cfRule>
    <cfRule type="cellIs" dxfId="30" priority="15" operator="equal">
      <formula>"Planned"</formula>
    </cfRule>
  </conditionalFormatting>
  <printOptions horizontalCentered="1"/>
  <pageMargins left="0.75" right="0.75" top="1" bottom="1" header="0.5" footer="0.5"/>
  <pageSetup paperSize="9" fitToHeight="0" orientation="landscape"/>
  <headerFooter>
    <oddFooter>&amp;L&amp;8 Generated by PATHWAYS&amp;R&amp;8 Page &amp;P of &amp;N</oddFooter>
  </headerFooter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DB8DA"/>
    <pageSetUpPr fitToPage="1"/>
  </sheetPr>
  <dimension ref="A1:F20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0" customWidth="1"/>
    <col min="2" max="2" width="14" customWidth="1"/>
    <col min="3" max="4" width="16" customWidth="1"/>
    <col min="5" max="5" width="13" customWidth="1"/>
    <col min="6" max="6" width="44" customWidth="1"/>
  </cols>
  <sheetData>
    <row r="1" spans="1:6" x14ac:dyDescent="0.3">
      <c r="A1" s="12" t="str">
        <f>"PATHWAYS  |  "&amp;About!$B$7&amp;"  "&amp;About!$B$6&amp;"  |  "&amp;About!$B$8&amp;" report"</f>
        <v>PATHWAYS  |  CLP-2025-03  Coastal Livelihoods Project  |  Midterm report</v>
      </c>
    </row>
    <row r="2" spans="1:6" ht="28.05" customHeight="1" x14ac:dyDescent="0.4">
      <c r="A2" s="13" t="str">
        <f>IF(Contents!$E$12="Yes",Contents!$A$12&amp;"   ","[Not included]   ")&amp;"Activities and milestones"</f>
        <v>5   Activities and milestones</v>
      </c>
      <c r="B2" s="3"/>
      <c r="C2" s="3"/>
      <c r="D2" s="3"/>
      <c r="E2" s="3"/>
      <c r="F2" s="3"/>
    </row>
    <row r="3" spans="1:6" x14ac:dyDescent="0.3">
      <c r="A3" s="74" t="s">
        <v>156</v>
      </c>
      <c r="B3" s="73"/>
      <c r="C3" s="73"/>
      <c r="D3" s="73"/>
      <c r="E3" s="73"/>
      <c r="F3" s="73"/>
    </row>
    <row r="5" spans="1:6" ht="22.05" customHeight="1" x14ac:dyDescent="0.3">
      <c r="A5" s="14" t="s">
        <v>157</v>
      </c>
      <c r="B5" s="14" t="s">
        <v>158</v>
      </c>
      <c r="C5" s="14" t="s">
        <v>159</v>
      </c>
      <c r="D5" s="14" t="s">
        <v>7</v>
      </c>
      <c r="E5" s="14" t="s">
        <v>160</v>
      </c>
      <c r="F5" s="14" t="s">
        <v>161</v>
      </c>
    </row>
    <row r="6" spans="1:6" x14ac:dyDescent="0.3">
      <c r="A6" s="39" t="s">
        <v>162</v>
      </c>
      <c r="B6" s="45">
        <v>46006</v>
      </c>
      <c r="C6" s="45">
        <v>46003</v>
      </c>
      <c r="D6" s="26" t="str">
        <f>IF(C6&lt;&gt;"",IF(C6&gt;B6,"Completed late","Completed"),IF(B6&lt;About!$B$11,"Overdue","Planned"))</f>
        <v>Completed</v>
      </c>
      <c r="E6" s="33">
        <f>IF(AND(C6="",B6&lt;About!$B$11),About!$B$11-B6,0)</f>
        <v>0</v>
      </c>
      <c r="F6" s="37"/>
    </row>
    <row r="7" spans="1:6" x14ac:dyDescent="0.3">
      <c r="A7" s="39" t="s">
        <v>163</v>
      </c>
      <c r="B7" s="45">
        <v>46112</v>
      </c>
      <c r="C7" s="45">
        <v>46112</v>
      </c>
      <c r="D7" s="26" t="str">
        <f>IF(C7&lt;&gt;"",IF(C7&gt;B7,"Completed late","Completed"),IF(B7&lt;About!$B$11,"Overdue","Planned"))</f>
        <v>Completed</v>
      </c>
      <c r="E7" s="33">
        <f>IF(AND(C7="",B7&lt;About!$B$11),About!$B$11-B7,0)</f>
        <v>0</v>
      </c>
      <c r="F7" s="37"/>
    </row>
    <row r="8" spans="1:6" x14ac:dyDescent="0.3">
      <c r="A8" s="39" t="s">
        <v>164</v>
      </c>
      <c r="B8" s="45">
        <v>46203</v>
      </c>
      <c r="C8" s="45">
        <v>46208</v>
      </c>
      <c r="D8" s="26" t="str">
        <f>IF(C8&lt;&gt;"",IF(C8&gt;B8,"Completed late","Completed"),IF(B8&lt;About!$B$11,"Overdue","Planned"))</f>
        <v>Completed late</v>
      </c>
      <c r="E8" s="33">
        <f>IF(AND(C8="",B8&lt;About!$B$11),About!$B$11-B8,0)</f>
        <v>0</v>
      </c>
      <c r="F8" s="37" t="s">
        <v>165</v>
      </c>
    </row>
    <row r="9" spans="1:6" ht="26.4" x14ac:dyDescent="0.3">
      <c r="A9" s="39" t="s">
        <v>166</v>
      </c>
      <c r="B9" s="45">
        <v>46277</v>
      </c>
      <c r="C9" s="45"/>
      <c r="D9" s="26" t="str">
        <f>IF(C9&lt;&gt;"",IF(C9&gt;B9,"Completed late","Completed"),IF(B9&lt;About!$B$11,"Overdue","Planned"))</f>
        <v>Overdue</v>
      </c>
      <c r="E9" s="33">
        <f>IF(AND(C9="",B9&lt;About!$B$11),About!$B$11-B9,0)</f>
        <v>18</v>
      </c>
      <c r="F9" s="37" t="s">
        <v>167</v>
      </c>
    </row>
    <row r="10" spans="1:6" x14ac:dyDescent="0.3">
      <c r="A10" s="39" t="s">
        <v>168</v>
      </c>
      <c r="B10" s="45">
        <v>46315</v>
      </c>
      <c r="C10" s="45"/>
      <c r="D10" s="26" t="str">
        <f>IF(C10&lt;&gt;"",IF(C10&gt;B10,"Completed late","Completed"),IF(B10&lt;About!$B$11,"Overdue","Planned"))</f>
        <v>Planned</v>
      </c>
      <c r="E10" s="33">
        <f>IF(AND(C10="",B10&lt;About!$B$11),About!$B$11-B10,0)</f>
        <v>0</v>
      </c>
      <c r="F10" s="37"/>
    </row>
    <row r="12" spans="1:6" x14ac:dyDescent="0.3">
      <c r="A12" s="30" t="s">
        <v>169</v>
      </c>
    </row>
    <row r="13" spans="1:6" x14ac:dyDescent="0.3">
      <c r="A13" s="30" t="s">
        <v>170</v>
      </c>
      <c r="B13" s="46">
        <v>30</v>
      </c>
    </row>
    <row r="14" spans="1:6" x14ac:dyDescent="0.3">
      <c r="A14" s="30" t="s">
        <v>171</v>
      </c>
      <c r="B14" s="46">
        <v>14</v>
      </c>
    </row>
    <row r="15" spans="1:6" x14ac:dyDescent="0.3">
      <c r="A15" s="30" t="s">
        <v>172</v>
      </c>
      <c r="B15" s="47">
        <f>IF(B13=0,0,B14/B13)</f>
        <v>0.46666666666666667</v>
      </c>
    </row>
    <row r="16" spans="1:6" x14ac:dyDescent="0.3">
      <c r="A16" s="30" t="s">
        <v>173</v>
      </c>
      <c r="B16" s="48">
        <f>MAX(E6:E10)</f>
        <v>18</v>
      </c>
    </row>
    <row r="18" spans="1:6" x14ac:dyDescent="0.3">
      <c r="A18" s="30" t="s">
        <v>174</v>
      </c>
    </row>
    <row r="19" spans="1:6" ht="34.049999999999997" customHeight="1" x14ac:dyDescent="0.3">
      <c r="A19" s="79" t="s">
        <v>175</v>
      </c>
      <c r="B19" s="76"/>
      <c r="C19" s="76"/>
      <c r="D19" s="76"/>
      <c r="E19" s="76"/>
      <c r="F19" s="76"/>
    </row>
    <row r="20" spans="1:6" x14ac:dyDescent="0.3">
      <c r="A20" s="38" t="s">
        <v>176</v>
      </c>
    </row>
  </sheetData>
  <mergeCells count="2">
    <mergeCell ref="A3:F3"/>
    <mergeCell ref="A19:F19"/>
  </mergeCells>
  <conditionalFormatting sqref="D6:D10">
    <cfRule type="cellIs" dxfId="29" priority="1" operator="equal">
      <formula>"On track"</formula>
    </cfRule>
    <cfRule type="cellIs" dxfId="28" priority="2" operator="equal">
      <formula>"Completed"</formula>
    </cfRule>
    <cfRule type="cellIs" dxfId="27" priority="3" operator="equal">
      <formula>"OK"</formula>
    </cfRule>
    <cfRule type="cellIs" dxfId="26" priority="4" operator="equal">
      <formula>"Approved"</formula>
    </cfRule>
    <cfRule type="cellIs" dxfId="25" priority="5" operator="equal">
      <formula>"At risk"</formula>
    </cfRule>
    <cfRule type="cellIs" dxfId="24" priority="6" operator="equal">
      <formula>"Completed late"</formula>
    </cfRule>
    <cfRule type="cellIs" dxfId="23" priority="7" operator="equal">
      <formula>"Medium"</formula>
    </cfRule>
    <cfRule type="cellIs" dxfId="22" priority="8" operator="equal">
      <formula>"Proposed"</formula>
    </cfRule>
    <cfRule type="cellIs" dxfId="21" priority="9" operator="equal">
      <formula>"Off track"</formula>
    </cfRule>
    <cfRule type="cellIs" dxfId="20" priority="10" operator="equal">
      <formula>"Overdue"</formula>
    </cfRule>
    <cfRule type="cellIs" dxfId="19" priority="11" operator="equal">
      <formula>"High"</formula>
    </cfRule>
    <cfRule type="cellIs" dxfId="18" priority="12" operator="equal">
      <formula>"Required by this preset: set to Yes"</formula>
    </cfRule>
    <cfRule type="cellIs" dxfId="17" priority="13" operator="equal">
      <formula>"Not offered in this preset: set to No"</formula>
    </cfRule>
    <cfRule type="cellIs" dxfId="16" priority="14" operator="equal">
      <formula>"Not available"</formula>
    </cfRule>
    <cfRule type="cellIs" dxfId="15" priority="15" operator="equal">
      <formula>"Planned"</formula>
    </cfRule>
  </conditionalFormatting>
  <printOptions horizontalCentered="1"/>
  <pageMargins left="0.75" right="0.75" top="1" bottom="1" header="0.5" footer="0.5"/>
  <pageSetup paperSize="9" fitToHeight="0" orientation="portrait"/>
  <headerFooter>
    <oddFooter>&amp;L&amp;8 Generated by PATHWAYS&amp;R&amp;8 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DB8DA"/>
    <pageSetUpPr fitToPage="1"/>
  </sheetPr>
  <dimension ref="A1:D31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22" customWidth="1"/>
    <col min="2" max="2" width="28" customWidth="1"/>
    <col min="3" max="3" width="14" customWidth="1"/>
    <col min="4" max="4" width="12" customWidth="1"/>
  </cols>
  <sheetData>
    <row r="1" spans="1:4" x14ac:dyDescent="0.3">
      <c r="A1" s="12" t="str">
        <f>"PATHWAYS  |  "&amp;About!$B$7&amp;"  "&amp;About!$B$6&amp;"  |  "&amp;About!$B$8&amp;" report"</f>
        <v>PATHWAYS  |  CLP-2025-03  Coastal Livelihoods Project  |  Midterm report</v>
      </c>
    </row>
    <row r="2" spans="1:4" ht="28.05" customHeight="1" x14ac:dyDescent="0.4">
      <c r="A2" s="13" t="str">
        <f>IF(Contents!$E$13="Yes",Contents!$A$13&amp;"   ","[Not included]   ")&amp;"Beneficiary reach"</f>
        <v>6   Beneficiary reach</v>
      </c>
      <c r="B2" s="3"/>
      <c r="C2" s="3"/>
      <c r="D2" s="3"/>
    </row>
    <row r="3" spans="1:4" x14ac:dyDescent="0.3">
      <c r="A3" s="74" t="s">
        <v>177</v>
      </c>
      <c r="B3" s="73"/>
      <c r="C3" s="73"/>
      <c r="D3" s="73"/>
    </row>
    <row r="5" spans="1:4" ht="22.05" customHeight="1" x14ac:dyDescent="0.3">
      <c r="A5" s="14" t="s">
        <v>178</v>
      </c>
      <c r="B5" s="14" t="s">
        <v>179</v>
      </c>
      <c r="C5" s="14" t="s">
        <v>180</v>
      </c>
      <c r="D5" s="14" t="s">
        <v>181</v>
      </c>
    </row>
    <row r="6" spans="1:4" x14ac:dyDescent="0.3">
      <c r="A6" s="25" t="s">
        <v>182</v>
      </c>
      <c r="B6" s="39" t="s">
        <v>183</v>
      </c>
      <c r="C6" s="49">
        <v>618</v>
      </c>
      <c r="D6" s="50">
        <f t="shared" ref="D6:D19" si="0">IF(ISNUMBER(C6),C6/$C$20,"-")</f>
        <v>0.8328840970350404</v>
      </c>
    </row>
    <row r="7" spans="1:4" x14ac:dyDescent="0.3">
      <c r="A7" s="25"/>
      <c r="B7" s="39" t="s">
        <v>184</v>
      </c>
      <c r="C7" s="49">
        <v>120</v>
      </c>
      <c r="D7" s="50">
        <f t="shared" si="0"/>
        <v>0.16172506738544473</v>
      </c>
    </row>
    <row r="8" spans="1:4" x14ac:dyDescent="0.3">
      <c r="A8" s="25"/>
      <c r="B8" s="39" t="s">
        <v>185</v>
      </c>
      <c r="C8" s="51" t="s">
        <v>186</v>
      </c>
      <c r="D8" s="50" t="str">
        <f t="shared" si="0"/>
        <v>-</v>
      </c>
    </row>
    <row r="9" spans="1:4" x14ac:dyDescent="0.3">
      <c r="A9" s="25" t="s">
        <v>187</v>
      </c>
      <c r="B9" s="39" t="s">
        <v>188</v>
      </c>
      <c r="C9" s="49">
        <v>131</v>
      </c>
      <c r="D9" s="50">
        <f t="shared" si="0"/>
        <v>0.17654986522911051</v>
      </c>
    </row>
    <row r="10" spans="1:4" x14ac:dyDescent="0.3">
      <c r="A10" s="25"/>
      <c r="B10" s="39" t="s">
        <v>189</v>
      </c>
      <c r="C10" s="49">
        <v>344</v>
      </c>
      <c r="D10" s="50">
        <f t="shared" si="0"/>
        <v>0.46361185983827491</v>
      </c>
    </row>
    <row r="11" spans="1:4" x14ac:dyDescent="0.3">
      <c r="A11" s="25"/>
      <c r="B11" s="39" t="s">
        <v>190</v>
      </c>
      <c r="C11" s="49">
        <v>228</v>
      </c>
      <c r="D11" s="50">
        <f t="shared" si="0"/>
        <v>0.30727762803234504</v>
      </c>
    </row>
    <row r="12" spans="1:4" x14ac:dyDescent="0.3">
      <c r="A12" s="25"/>
      <c r="B12" s="39" t="s">
        <v>191</v>
      </c>
      <c r="C12" s="49">
        <v>39</v>
      </c>
      <c r="D12" s="50">
        <f t="shared" si="0"/>
        <v>5.2560646900269542E-2</v>
      </c>
    </row>
    <row r="13" spans="1:4" x14ac:dyDescent="0.3">
      <c r="A13" s="25" t="s">
        <v>192</v>
      </c>
      <c r="B13" s="39" t="s">
        <v>193</v>
      </c>
      <c r="C13" s="49">
        <v>46</v>
      </c>
      <c r="D13" s="50">
        <f t="shared" si="0"/>
        <v>6.1994609164420483E-2</v>
      </c>
    </row>
    <row r="14" spans="1:4" x14ac:dyDescent="0.3">
      <c r="A14" s="25"/>
      <c r="B14" s="39" t="s">
        <v>194</v>
      </c>
      <c r="C14" s="49">
        <v>689</v>
      </c>
      <c r="D14" s="50">
        <f t="shared" si="0"/>
        <v>0.9285714285714286</v>
      </c>
    </row>
    <row r="15" spans="1:4" x14ac:dyDescent="0.3">
      <c r="A15" s="25"/>
      <c r="B15" s="39" t="s">
        <v>185</v>
      </c>
      <c r="C15" s="49">
        <v>7</v>
      </c>
      <c r="D15" s="50">
        <f t="shared" si="0"/>
        <v>9.433962264150943E-3</v>
      </c>
    </row>
    <row r="16" spans="1:4" x14ac:dyDescent="0.3">
      <c r="A16" s="25" t="s">
        <v>195</v>
      </c>
      <c r="B16" s="39" t="s">
        <v>196</v>
      </c>
      <c r="C16" s="49">
        <v>248</v>
      </c>
      <c r="D16" s="50">
        <f t="shared" si="0"/>
        <v>0.33423180592991913</v>
      </c>
    </row>
    <row r="17" spans="1:4" x14ac:dyDescent="0.3">
      <c r="A17" s="25"/>
      <c r="B17" s="39" t="s">
        <v>197</v>
      </c>
      <c r="C17" s="49">
        <v>201</v>
      </c>
      <c r="D17" s="50">
        <f t="shared" si="0"/>
        <v>0.27088948787061995</v>
      </c>
    </row>
    <row r="18" spans="1:4" x14ac:dyDescent="0.3">
      <c r="A18" s="25"/>
      <c r="B18" s="39" t="s">
        <v>198</v>
      </c>
      <c r="C18" s="49">
        <v>167</v>
      </c>
      <c r="D18" s="50">
        <f t="shared" si="0"/>
        <v>0.22506738544474394</v>
      </c>
    </row>
    <row r="19" spans="1:4" x14ac:dyDescent="0.3">
      <c r="A19" s="25"/>
      <c r="B19" s="39" t="s">
        <v>199</v>
      </c>
      <c r="C19" s="49">
        <v>126</v>
      </c>
      <c r="D19" s="50">
        <f t="shared" si="0"/>
        <v>0.16981132075471697</v>
      </c>
    </row>
    <row r="20" spans="1:4" x14ac:dyDescent="0.3">
      <c r="A20" s="52" t="s">
        <v>200</v>
      </c>
      <c r="B20" s="53" t="s">
        <v>201</v>
      </c>
      <c r="C20" s="54">
        <v>742</v>
      </c>
      <c r="D20" s="55">
        <f>C20/C20</f>
        <v>1</v>
      </c>
    </row>
    <row r="21" spans="1:4" x14ac:dyDescent="0.3">
      <c r="A21" s="38" t="s">
        <v>202</v>
      </c>
    </row>
    <row r="23" spans="1:4" x14ac:dyDescent="0.3">
      <c r="A23" s="30" t="s">
        <v>203</v>
      </c>
    </row>
    <row r="24" spans="1:4" ht="22.05" customHeight="1" x14ac:dyDescent="0.3">
      <c r="A24" s="14" t="s">
        <v>204</v>
      </c>
      <c r="B24" s="14"/>
      <c r="C24" s="14" t="s">
        <v>180</v>
      </c>
      <c r="D24" s="14" t="s">
        <v>205</v>
      </c>
    </row>
    <row r="25" spans="1:4" x14ac:dyDescent="0.3">
      <c r="A25" s="25" t="s">
        <v>206</v>
      </c>
      <c r="B25" s="25"/>
      <c r="C25" s="41">
        <v>980</v>
      </c>
      <c r="D25" s="31">
        <f>C25/$C$25</f>
        <v>1</v>
      </c>
    </row>
    <row r="26" spans="1:4" x14ac:dyDescent="0.3">
      <c r="A26" s="25" t="s">
        <v>207</v>
      </c>
      <c r="B26" s="25"/>
      <c r="C26" s="41">
        <v>742</v>
      </c>
      <c r="D26" s="31">
        <f>C26/$C$25</f>
        <v>0.75714285714285712</v>
      </c>
    </row>
    <row r="27" spans="1:4" x14ac:dyDescent="0.3">
      <c r="A27" s="25" t="s">
        <v>208</v>
      </c>
      <c r="B27" s="25"/>
      <c r="C27" s="41">
        <v>612</v>
      </c>
      <c r="D27" s="31">
        <f>C27/$C$25</f>
        <v>0.6244897959183674</v>
      </c>
    </row>
    <row r="28" spans="1:4" x14ac:dyDescent="0.3">
      <c r="A28" s="25" t="s">
        <v>209</v>
      </c>
      <c r="B28" s="25"/>
      <c r="C28" s="41">
        <v>118</v>
      </c>
      <c r="D28" s="31">
        <f>C28/$C$25</f>
        <v>0.12040816326530612</v>
      </c>
    </row>
    <row r="29" spans="1:4" x14ac:dyDescent="0.3">
      <c r="A29" s="25" t="s">
        <v>210</v>
      </c>
      <c r="B29" s="25"/>
      <c r="C29" s="41">
        <v>35</v>
      </c>
      <c r="D29" s="31">
        <f>C29/$C$25</f>
        <v>3.5714285714285712E-2</v>
      </c>
    </row>
    <row r="31" spans="1:4" x14ac:dyDescent="0.3">
      <c r="A31" s="30" t="s">
        <v>211</v>
      </c>
      <c r="C31" s="43">
        <f>C20/'2 Background'!$B$15</f>
        <v>0.61833333333333329</v>
      </c>
      <c r="D31" s="6" t="str">
        <f>"of "&amp;TEXT('2 Background'!$B$15,"#,##0")&amp;" target"</f>
        <v>of 1,200 target</v>
      </c>
    </row>
  </sheetData>
  <mergeCells count="1">
    <mergeCell ref="A3:D3"/>
  </mergeCells>
  <printOptions horizontalCentered="1"/>
  <pageMargins left="0.75" right="0.75" top="1" bottom="1" header="0.5" footer="0.5"/>
  <pageSetup paperSize="9" fitToHeight="0" orientation="portrait"/>
  <headerFooter>
    <oddFooter>&amp;L&amp;8 Generated by PATHWAYS&amp;R&amp;8 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DB8DA"/>
    <pageSetUpPr fitToPage="1"/>
  </sheetPr>
  <dimension ref="A1:E10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0" customWidth="1"/>
    <col min="2" max="4" width="15" customWidth="1"/>
    <col min="5" max="5" width="14" customWidth="1"/>
  </cols>
  <sheetData>
    <row r="1" spans="1:5" x14ac:dyDescent="0.3">
      <c r="A1" s="12" t="str">
        <f>"PATHWAYS  |  "&amp;About!$B$7&amp;"  "&amp;About!$B$6&amp;"  |  "&amp;About!$B$8&amp;" report"</f>
        <v>PATHWAYS  |  CLP-2025-03  Coastal Livelihoods Project  |  Midterm report</v>
      </c>
    </row>
    <row r="2" spans="1:5" ht="28.05" customHeight="1" x14ac:dyDescent="0.4">
      <c r="A2" s="13" t="str">
        <f>IF(Contents!$E$14="Yes",Contents!$A$14&amp;"   ","[Not included]   ")&amp;"Survey and assessment results"</f>
        <v>[Not included]   Survey and assessment results</v>
      </c>
      <c r="B2" s="3"/>
      <c r="C2" s="3"/>
      <c r="D2" s="3"/>
      <c r="E2" s="3"/>
    </row>
    <row r="3" spans="1:5" x14ac:dyDescent="0.3">
      <c r="A3" s="74" t="s">
        <v>212</v>
      </c>
      <c r="B3" s="73"/>
      <c r="C3" s="73"/>
      <c r="D3" s="73"/>
      <c r="E3" s="73"/>
    </row>
    <row r="5" spans="1:5" ht="22.05" customHeight="1" x14ac:dyDescent="0.3">
      <c r="A5" s="14" t="s">
        <v>213</v>
      </c>
      <c r="B5" s="14" t="s">
        <v>214</v>
      </c>
      <c r="C5" s="14" t="s">
        <v>215</v>
      </c>
      <c r="D5" s="14" t="s">
        <v>216</v>
      </c>
      <c r="E5" s="14" t="s">
        <v>217</v>
      </c>
    </row>
    <row r="6" spans="1:5" x14ac:dyDescent="0.3">
      <c r="A6" s="39" t="s">
        <v>218</v>
      </c>
      <c r="B6" s="41">
        <v>588</v>
      </c>
      <c r="C6" s="56">
        <v>54.2</v>
      </c>
      <c r="D6" s="56">
        <v>76.8</v>
      </c>
      <c r="E6" s="57">
        <f>D6-C6</f>
        <v>22.599999999999994</v>
      </c>
    </row>
    <row r="7" spans="1:5" x14ac:dyDescent="0.3">
      <c r="A7" s="38" t="s">
        <v>219</v>
      </c>
    </row>
    <row r="9" spans="1:5" x14ac:dyDescent="0.3">
      <c r="A9" s="30" t="s">
        <v>220</v>
      </c>
    </row>
    <row r="10" spans="1:5" ht="60" customHeight="1" x14ac:dyDescent="0.3">
      <c r="A10" s="77" t="s">
        <v>221</v>
      </c>
      <c r="B10" s="76"/>
      <c r="C10" s="76"/>
      <c r="D10" s="76"/>
      <c r="E10" s="76"/>
    </row>
  </sheetData>
  <mergeCells count="2">
    <mergeCell ref="A10:E10"/>
    <mergeCell ref="A3:E3"/>
  </mergeCells>
  <printOptions horizontalCentered="1"/>
  <pageMargins left="0.75" right="0.75" top="1" bottom="1" header="0.5" footer="0.5"/>
  <pageSetup paperSize="9" fitToHeight="0" orientation="portrait"/>
  <headerFooter>
    <oddFooter>&amp;L&amp;8 Generated by PATHWAYS&amp;R&amp;8 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DB8DA"/>
    <pageSetUpPr fitToPage="1"/>
  </sheetPr>
  <dimension ref="A1:F19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32" customWidth="1"/>
    <col min="2" max="2" width="18" customWidth="1"/>
    <col min="3" max="3" width="16" customWidth="1"/>
    <col min="4" max="4" width="10" customWidth="1"/>
    <col min="5" max="5" width="16" customWidth="1"/>
    <col min="6" max="6" width="18" customWidth="1"/>
  </cols>
  <sheetData>
    <row r="1" spans="1:6" x14ac:dyDescent="0.3">
      <c r="A1" s="12" t="str">
        <f>"PATHWAYS  |  "&amp;About!$B$7&amp;"  "&amp;About!$B$6&amp;"  |  "&amp;About!$B$8&amp;" report"</f>
        <v>PATHWAYS  |  CLP-2025-03  Coastal Livelihoods Project  |  Midterm report</v>
      </c>
    </row>
    <row r="2" spans="1:6" ht="28.05" customHeight="1" x14ac:dyDescent="0.4">
      <c r="A2" s="13" t="str">
        <f>IF(Contents!$E$15="Yes",Contents!$A$15&amp;"   ","[Not included]   ")&amp;"Financial summary"</f>
        <v>7   Financial summary</v>
      </c>
      <c r="B2" s="3"/>
      <c r="C2" s="3"/>
      <c r="D2" s="3"/>
      <c r="E2" s="3"/>
      <c r="F2" s="3"/>
    </row>
    <row r="3" spans="1:6" x14ac:dyDescent="0.3">
      <c r="A3" s="74" t="s">
        <v>222</v>
      </c>
      <c r="B3" s="73"/>
      <c r="C3" s="73"/>
      <c r="D3" s="73"/>
      <c r="E3" s="73"/>
      <c r="F3" s="73"/>
    </row>
    <row r="5" spans="1:6" ht="22.05" customHeight="1" x14ac:dyDescent="0.3">
      <c r="A5" s="14" t="s">
        <v>179</v>
      </c>
      <c r="B5" s="14" t="s">
        <v>223</v>
      </c>
      <c r="C5" s="14" t="s">
        <v>224</v>
      </c>
      <c r="D5" s="14" t="s">
        <v>225</v>
      </c>
      <c r="E5" s="14" t="s">
        <v>226</v>
      </c>
      <c r="F5" s="14" t="s">
        <v>227</v>
      </c>
    </row>
    <row r="6" spans="1:6" x14ac:dyDescent="0.3">
      <c r="A6" s="25" t="s">
        <v>228</v>
      </c>
      <c r="B6" s="41">
        <v>3200000</v>
      </c>
      <c r="C6" s="41">
        <v>1940000</v>
      </c>
      <c r="D6" s="31">
        <f t="shared" ref="D6:D11" si="0">IF(B6=0,"Not available",C6/B6)</f>
        <v>0.60624999999999996</v>
      </c>
      <c r="E6" s="33">
        <f t="shared" ref="E6:E11" si="1">B6-C6</f>
        <v>1260000</v>
      </c>
      <c r="F6" s="32">
        <f>IF(ISNUMBER(D6),D6-About!$B$14,"")</f>
        <v>0.10693587105624136</v>
      </c>
    </row>
    <row r="7" spans="1:6" x14ac:dyDescent="0.3">
      <c r="A7" s="25" t="s">
        <v>229</v>
      </c>
      <c r="B7" s="41">
        <v>4500000</v>
      </c>
      <c r="C7" s="41">
        <v>1310000</v>
      </c>
      <c r="D7" s="31">
        <f t="shared" si="0"/>
        <v>0.2911111111111111</v>
      </c>
      <c r="E7" s="33">
        <f t="shared" si="1"/>
        <v>3190000</v>
      </c>
      <c r="F7" s="32">
        <f>IF(ISNUMBER(D7),D7-About!$B$14,"")</f>
        <v>-0.2082030178326475</v>
      </c>
    </row>
    <row r="8" spans="1:6" x14ac:dyDescent="0.3">
      <c r="A8" s="25" t="s">
        <v>230</v>
      </c>
      <c r="B8" s="41">
        <v>2400000</v>
      </c>
      <c r="C8" s="41">
        <v>1250000</v>
      </c>
      <c r="D8" s="31">
        <f t="shared" si="0"/>
        <v>0.52083333333333337</v>
      </c>
      <c r="E8" s="33">
        <f t="shared" si="1"/>
        <v>1150000</v>
      </c>
      <c r="F8" s="32">
        <f>IF(ISNUMBER(D8),D8-About!$B$14,"")</f>
        <v>2.1519204389574775E-2</v>
      </c>
    </row>
    <row r="9" spans="1:6" x14ac:dyDescent="0.3">
      <c r="A9" s="25" t="s">
        <v>231</v>
      </c>
      <c r="B9" s="41">
        <v>900000</v>
      </c>
      <c r="C9" s="41">
        <v>520000</v>
      </c>
      <c r="D9" s="31">
        <f t="shared" si="0"/>
        <v>0.57777777777777772</v>
      </c>
      <c r="E9" s="33">
        <f t="shared" si="1"/>
        <v>380000</v>
      </c>
      <c r="F9" s="32">
        <f>IF(ISNUMBER(D9),D9-About!$B$14,"")</f>
        <v>7.8463648834019128E-2</v>
      </c>
    </row>
    <row r="10" spans="1:6" x14ac:dyDescent="0.3">
      <c r="A10" s="25" t="s">
        <v>232</v>
      </c>
      <c r="B10" s="41">
        <v>1000000</v>
      </c>
      <c r="C10" s="41">
        <v>500000</v>
      </c>
      <c r="D10" s="31">
        <f t="shared" si="0"/>
        <v>0.5</v>
      </c>
      <c r="E10" s="33">
        <f t="shared" si="1"/>
        <v>500000</v>
      </c>
      <c r="F10" s="32">
        <f>IF(ISNUMBER(D10),D10-About!$B$14,"")</f>
        <v>6.8587105624140499E-4</v>
      </c>
    </row>
    <row r="11" spans="1:6" x14ac:dyDescent="0.3">
      <c r="A11" s="52" t="s">
        <v>233</v>
      </c>
      <c r="B11" s="58">
        <f>SUM(B6:B10)</f>
        <v>12000000</v>
      </c>
      <c r="C11" s="58">
        <f>SUM(C6:C10)</f>
        <v>5520000</v>
      </c>
      <c r="D11" s="59">
        <f t="shared" si="0"/>
        <v>0.46</v>
      </c>
      <c r="E11" s="58">
        <f t="shared" si="1"/>
        <v>6480000</v>
      </c>
      <c r="F11" s="60">
        <f>D11-About!$B$14</f>
        <v>-3.9314128943758575E-2</v>
      </c>
    </row>
    <row r="13" spans="1:6" x14ac:dyDescent="0.3">
      <c r="A13" s="30" t="s">
        <v>234</v>
      </c>
    </row>
    <row r="14" spans="1:6" x14ac:dyDescent="0.3">
      <c r="A14" s="30" t="s">
        <v>235</v>
      </c>
      <c r="B14" s="46">
        <v>3</v>
      </c>
    </row>
    <row r="15" spans="1:6" x14ac:dyDescent="0.3">
      <c r="A15" s="30" t="s">
        <v>236</v>
      </c>
      <c r="B15" s="46">
        <v>184500</v>
      </c>
    </row>
    <row r="16" spans="1:6" x14ac:dyDescent="0.3">
      <c r="A16" s="38" t="s">
        <v>237</v>
      </c>
    </row>
    <row r="18" spans="1:6" x14ac:dyDescent="0.3">
      <c r="A18" s="30" t="s">
        <v>238</v>
      </c>
    </row>
    <row r="19" spans="1:6" ht="60" customHeight="1" x14ac:dyDescent="0.3">
      <c r="A19" s="78" t="s">
        <v>239</v>
      </c>
      <c r="B19" s="76"/>
      <c r="C19" s="76"/>
      <c r="D19" s="76"/>
      <c r="E19" s="76"/>
      <c r="F19" s="76"/>
    </row>
  </sheetData>
  <mergeCells count="2">
    <mergeCell ref="A3:F3"/>
    <mergeCell ref="A19:F19"/>
  </mergeCells>
  <printOptions horizontalCentered="1"/>
  <pageMargins left="0.75" right="0.75" top="1" bottom="1" header="0.5" footer="0.5"/>
  <pageSetup paperSize="9" fitToHeight="0" orientation="portrait"/>
  <headerFooter>
    <oddFooter>&amp;L&amp;8 Generated by PATHWAYS&amp;R&amp;8 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DB8DA"/>
    <pageSetUpPr fitToPage="1"/>
  </sheetPr>
  <dimension ref="A1:E14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30" customWidth="1"/>
    <col min="2" max="4" width="12" customWidth="1"/>
    <col min="5" max="5" width="16" customWidth="1"/>
  </cols>
  <sheetData>
    <row r="1" spans="1:5" x14ac:dyDescent="0.3">
      <c r="A1" s="12" t="str">
        <f>"PATHWAYS  |  "&amp;About!$B$7&amp;"  "&amp;About!$B$6&amp;"  |  "&amp;About!$B$8&amp;" report"</f>
        <v>PATHWAYS  |  CLP-2025-03  Coastal Livelihoods Project  |  Midterm report</v>
      </c>
    </row>
    <row r="2" spans="1:5" ht="28.05" customHeight="1" x14ac:dyDescent="0.4">
      <c r="A2" s="13" t="str">
        <f>IF(Contents!$E$16="Yes",Contents!$A$16&amp;"   ","[Not included]   ")&amp;"Evaluation"</f>
        <v>8   Evaluation</v>
      </c>
      <c r="B2" s="3"/>
      <c r="C2" s="3"/>
      <c r="D2" s="3"/>
      <c r="E2" s="3"/>
    </row>
    <row r="3" spans="1:5" x14ac:dyDescent="0.3">
      <c r="A3" s="74" t="s">
        <v>240</v>
      </c>
      <c r="B3" s="73"/>
      <c r="C3" s="73"/>
      <c r="D3" s="73"/>
      <c r="E3" s="73"/>
    </row>
    <row r="5" spans="1:5" ht="22.05" customHeight="1" x14ac:dyDescent="0.3">
      <c r="A5" s="14" t="s">
        <v>241</v>
      </c>
      <c r="B5" s="14" t="s">
        <v>242</v>
      </c>
      <c r="C5" s="14" t="s">
        <v>243</v>
      </c>
      <c r="D5" s="14" t="s">
        <v>244</v>
      </c>
      <c r="E5" s="14" t="s">
        <v>245</v>
      </c>
    </row>
    <row r="6" spans="1:5" x14ac:dyDescent="0.3">
      <c r="A6" s="25" t="s">
        <v>92</v>
      </c>
      <c r="B6" s="40">
        <v>0.3</v>
      </c>
      <c r="C6" s="61">
        <v>3</v>
      </c>
      <c r="D6" s="61">
        <v>5</v>
      </c>
      <c r="E6" s="62">
        <f>B6*C6</f>
        <v>0.89999999999999991</v>
      </c>
    </row>
    <row r="7" spans="1:5" x14ac:dyDescent="0.3">
      <c r="A7" s="25" t="s">
        <v>246</v>
      </c>
      <c r="B7" s="40">
        <v>0.2</v>
      </c>
      <c r="C7" s="61">
        <v>4</v>
      </c>
      <c r="D7" s="61">
        <v>5</v>
      </c>
      <c r="E7" s="62">
        <f>B7*C7</f>
        <v>0.8</v>
      </c>
    </row>
    <row r="8" spans="1:5" x14ac:dyDescent="0.3">
      <c r="A8" s="25" t="s">
        <v>247</v>
      </c>
      <c r="B8" s="40">
        <v>0.2</v>
      </c>
      <c r="C8" s="61">
        <v>4</v>
      </c>
      <c r="D8" s="61">
        <v>5</v>
      </c>
      <c r="E8" s="62">
        <f>B8*C8</f>
        <v>0.8</v>
      </c>
    </row>
    <row r="9" spans="1:5" x14ac:dyDescent="0.3">
      <c r="A9" s="25" t="s">
        <v>64</v>
      </c>
      <c r="B9" s="40">
        <v>0.2</v>
      </c>
      <c r="C9" s="61">
        <v>4</v>
      </c>
      <c r="D9" s="61">
        <v>5</v>
      </c>
      <c r="E9" s="62">
        <f>B9*C9</f>
        <v>0.8</v>
      </c>
    </row>
    <row r="10" spans="1:5" x14ac:dyDescent="0.3">
      <c r="A10" s="25" t="s">
        <v>248</v>
      </c>
      <c r="B10" s="40">
        <v>0.1</v>
      </c>
      <c r="C10" s="61">
        <v>5</v>
      </c>
      <c r="D10" s="61">
        <v>5</v>
      </c>
      <c r="E10" s="62">
        <f>B10*C10</f>
        <v>0.5</v>
      </c>
    </row>
    <row r="11" spans="1:5" x14ac:dyDescent="0.3">
      <c r="A11" s="52" t="s">
        <v>249</v>
      </c>
      <c r="B11" s="59">
        <f>SUM(B6:B10)</f>
        <v>0.99999999999999989</v>
      </c>
      <c r="C11" s="63"/>
      <c r="D11" s="63">
        <v>5</v>
      </c>
      <c r="E11" s="64">
        <f>SUM(E6:E10)</f>
        <v>3.8</v>
      </c>
    </row>
    <row r="12" spans="1:5" x14ac:dyDescent="0.3">
      <c r="A12" s="30" t="s">
        <v>250</v>
      </c>
      <c r="E12" s="43">
        <f>IF(D11=0,"Not available",E11/D11)</f>
        <v>0.76</v>
      </c>
    </row>
    <row r="13" spans="1:5" x14ac:dyDescent="0.3">
      <c r="A13" s="11" t="str">
        <f>IF(ROUND(B11,4)=1,"Weights total 100%","Check: weights must total 100%")</f>
        <v>Weights total 100%</v>
      </c>
    </row>
    <row r="14" spans="1:5" x14ac:dyDescent="0.3">
      <c r="A14" s="38" t="s">
        <v>251</v>
      </c>
    </row>
  </sheetData>
  <mergeCells count="1">
    <mergeCell ref="A3:E3"/>
  </mergeCells>
  <printOptions horizontalCentered="1"/>
  <pageMargins left="0.75" right="0.75" top="1" bottom="1" header="0.5" footer="0.5"/>
  <pageSetup paperSize="9" fitToHeight="0" orientation="portrait"/>
  <headerFooter>
    <oddFooter>&amp;L&amp;8 Generated by PATHWAYS&amp;R&amp;8 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DB8DA"/>
    <pageSetUpPr fitToPage="1"/>
  </sheetPr>
  <dimension ref="A1:D12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2" customWidth="1"/>
    <col min="2" max="2" width="46" customWidth="1"/>
    <col min="3" max="3" width="18" customWidth="1"/>
    <col min="4" max="4" width="50" customWidth="1"/>
  </cols>
  <sheetData>
    <row r="1" spans="1:4" x14ac:dyDescent="0.3">
      <c r="A1" s="12" t="str">
        <f>"PATHWAYS  |  "&amp;About!$B$7&amp;"  "&amp;About!$B$6&amp;"  |  "&amp;About!$B$8&amp;" report"</f>
        <v>PATHWAYS  |  CLP-2025-03  Coastal Livelihoods Project  |  Midterm report</v>
      </c>
    </row>
    <row r="2" spans="1:4" ht="28.05" customHeight="1" x14ac:dyDescent="0.4">
      <c r="A2" s="13" t="str">
        <f>IF(Contents!$E$17="Yes",Contents!$A$17&amp;"   ","[Not included]   ")&amp;"Risks, issues and decisions"</f>
        <v>9   Risks, issues and decisions</v>
      </c>
      <c r="B2" s="3"/>
      <c r="C2" s="3"/>
      <c r="D2" s="3"/>
    </row>
    <row r="3" spans="1:4" x14ac:dyDescent="0.3">
      <c r="A3" s="74" t="s">
        <v>252</v>
      </c>
      <c r="B3" s="73"/>
      <c r="C3" s="73"/>
      <c r="D3" s="73"/>
    </row>
    <row r="5" spans="1:4" ht="22.05" customHeight="1" x14ac:dyDescent="0.3">
      <c r="A5" s="14" t="s">
        <v>129</v>
      </c>
      <c r="B5" s="14" t="s">
        <v>15</v>
      </c>
      <c r="C5" s="14" t="s">
        <v>253</v>
      </c>
      <c r="D5" s="14" t="s">
        <v>254</v>
      </c>
    </row>
    <row r="6" spans="1:4" x14ac:dyDescent="0.3">
      <c r="A6" s="39" t="s">
        <v>255</v>
      </c>
      <c r="B6" s="39" t="s">
        <v>256</v>
      </c>
      <c r="C6" s="39" t="s">
        <v>257</v>
      </c>
      <c r="D6" s="37" t="s">
        <v>258</v>
      </c>
    </row>
    <row r="7" spans="1:4" x14ac:dyDescent="0.3">
      <c r="A7" s="39" t="s">
        <v>255</v>
      </c>
      <c r="B7" s="39" t="s">
        <v>259</v>
      </c>
      <c r="C7" s="39" t="s">
        <v>260</v>
      </c>
      <c r="D7" s="37" t="s">
        <v>261</v>
      </c>
    </row>
    <row r="8" spans="1:4" x14ac:dyDescent="0.3">
      <c r="A8" s="39" t="s">
        <v>262</v>
      </c>
      <c r="B8" s="39" t="s">
        <v>263</v>
      </c>
      <c r="C8" s="39" t="s">
        <v>264</v>
      </c>
      <c r="D8" s="37" t="s">
        <v>265</v>
      </c>
    </row>
    <row r="9" spans="1:4" x14ac:dyDescent="0.3">
      <c r="A9" s="39" t="s">
        <v>262</v>
      </c>
      <c r="B9" s="39" t="s">
        <v>266</v>
      </c>
      <c r="C9" s="39" t="s">
        <v>267</v>
      </c>
      <c r="D9" s="37" t="s">
        <v>268</v>
      </c>
    </row>
    <row r="10" spans="1:4" x14ac:dyDescent="0.3">
      <c r="A10" s="37" t="s">
        <v>269</v>
      </c>
      <c r="B10" s="37" t="s">
        <v>270</v>
      </c>
      <c r="C10" s="37" t="s">
        <v>271</v>
      </c>
      <c r="D10" s="37" t="s">
        <v>261</v>
      </c>
    </row>
    <row r="11" spans="1:4" x14ac:dyDescent="0.3">
      <c r="A11" s="37" t="s">
        <v>269</v>
      </c>
      <c r="B11" s="37"/>
      <c r="C11" s="37"/>
      <c r="D11" s="37"/>
    </row>
    <row r="12" spans="1:4" x14ac:dyDescent="0.3">
      <c r="A12" s="38" t="s">
        <v>272</v>
      </c>
    </row>
  </sheetData>
  <mergeCells count="1">
    <mergeCell ref="A3:D3"/>
  </mergeCells>
  <conditionalFormatting sqref="C6:C11">
    <cfRule type="cellIs" dxfId="14" priority="1" operator="equal">
      <formula>"On track"</formula>
    </cfRule>
    <cfRule type="cellIs" dxfId="13" priority="2" operator="equal">
      <formula>"Completed"</formula>
    </cfRule>
    <cfRule type="cellIs" dxfId="12" priority="3" operator="equal">
      <formula>"OK"</formula>
    </cfRule>
    <cfRule type="cellIs" dxfId="11" priority="4" operator="equal">
      <formula>"Approved"</formula>
    </cfRule>
    <cfRule type="cellIs" dxfId="10" priority="5" operator="equal">
      <formula>"At risk"</formula>
    </cfRule>
    <cfRule type="cellIs" dxfId="9" priority="6" operator="equal">
      <formula>"Completed late"</formula>
    </cfRule>
    <cfRule type="cellIs" dxfId="8" priority="7" operator="equal">
      <formula>"Medium"</formula>
    </cfRule>
    <cfRule type="cellIs" dxfId="7" priority="8" operator="equal">
      <formula>"Proposed"</formula>
    </cfRule>
    <cfRule type="cellIs" dxfId="6" priority="9" operator="equal">
      <formula>"Off track"</formula>
    </cfRule>
    <cfRule type="cellIs" dxfId="5" priority="10" operator="equal">
      <formula>"Overdue"</formula>
    </cfRule>
    <cfRule type="cellIs" dxfId="4" priority="11" operator="equal">
      <formula>"High"</formula>
    </cfRule>
    <cfRule type="cellIs" dxfId="3" priority="12" operator="equal">
      <formula>"Required by this preset: set to Yes"</formula>
    </cfRule>
    <cfRule type="cellIs" dxfId="2" priority="13" operator="equal">
      <formula>"Not offered in this preset: set to No"</formula>
    </cfRule>
    <cfRule type="cellIs" dxfId="1" priority="14" operator="equal">
      <formula>"Not available"</formula>
    </cfRule>
    <cfRule type="cellIs" dxfId="0" priority="15" operator="equal">
      <formula>"Planned"</formula>
    </cfRule>
  </conditionalFormatting>
  <printOptions horizontalCentered="1"/>
  <pageMargins left="0.75" right="0.75" top="1" bottom="1" header="0.5" footer="0.5"/>
  <pageSetup paperSize="9" fitToHeight="0" orientation="landscape"/>
  <headerFooter>
    <oddFooter>&amp;L&amp;8 Generated by PATHWAYS&amp;R&amp;8 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DB8DA"/>
    <pageSetUpPr fitToPage="1"/>
  </sheetPr>
  <dimension ref="A1:A15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00" customWidth="1"/>
  </cols>
  <sheetData>
    <row r="1" spans="1:1" x14ac:dyDescent="0.3">
      <c r="A1" s="12" t="str">
        <f>"PATHWAYS  |  "&amp;About!$B$7&amp;"  "&amp;About!$B$6&amp;"  |  "&amp;About!$B$8&amp;" report"</f>
        <v>PATHWAYS  |  CLP-2025-03  Coastal Livelihoods Project  |  Midterm report</v>
      </c>
    </row>
    <row r="2" spans="1:1" ht="28.05" customHeight="1" x14ac:dyDescent="0.4">
      <c r="A2" s="13" t="str">
        <f>IF(Contents!$E$18="Yes",Contents!$A$18&amp;"   ","[Not included]   ")&amp;"Lessons learned and next steps"</f>
        <v>10   Lessons learned and next steps</v>
      </c>
    </row>
    <row r="3" spans="1:1" x14ac:dyDescent="0.3">
      <c r="A3" s="74" t="s">
        <v>273</v>
      </c>
    </row>
    <row r="5" spans="1:1" x14ac:dyDescent="0.3">
      <c r="A5" s="30" t="s">
        <v>274</v>
      </c>
    </row>
    <row r="6" spans="1:1" ht="70.05" customHeight="1" x14ac:dyDescent="0.3">
      <c r="A6" s="77" t="s">
        <v>275</v>
      </c>
    </row>
    <row r="8" spans="1:1" x14ac:dyDescent="0.3">
      <c r="A8" s="30" t="s">
        <v>276</v>
      </c>
    </row>
    <row r="9" spans="1:1" ht="70.05" customHeight="1" x14ac:dyDescent="0.3">
      <c r="A9" s="78" t="s">
        <v>277</v>
      </c>
    </row>
    <row r="11" spans="1:1" x14ac:dyDescent="0.3">
      <c r="A11" s="30" t="s">
        <v>278</v>
      </c>
    </row>
    <row r="12" spans="1:1" ht="70.05" customHeight="1" x14ac:dyDescent="0.3">
      <c r="A12" s="77" t="s">
        <v>279</v>
      </c>
    </row>
    <row r="14" spans="1:1" x14ac:dyDescent="0.3">
      <c r="A14" s="30" t="s">
        <v>280</v>
      </c>
    </row>
    <row r="15" spans="1:1" ht="70.05" customHeight="1" x14ac:dyDescent="0.3">
      <c r="A15" s="78" t="s">
        <v>281</v>
      </c>
    </row>
  </sheetData>
  <mergeCells count="5">
    <mergeCell ref="A6"/>
    <mergeCell ref="A12"/>
    <mergeCell ref="A9"/>
    <mergeCell ref="A3"/>
    <mergeCell ref="A15"/>
  </mergeCells>
  <printOptions horizontalCentered="1"/>
  <pageMargins left="0.75" right="0.75" top="1" bottom="1" header="0.5" footer="0.5"/>
  <pageSetup paperSize="9" fitToHeight="0" orientation="portrait"/>
  <headerFooter>
    <oddFooter>&amp;L&amp;8 Generated by PATHWAYS&amp;R&amp;8 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DB8DA"/>
    <pageSetUpPr fitToPage="1"/>
  </sheetPr>
  <dimension ref="A1:G11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1" customWidth="1"/>
    <col min="2" max="2" width="40" customWidth="1"/>
    <col min="3" max="3" width="12" customWidth="1"/>
    <col min="4" max="4" width="11" customWidth="1"/>
    <col min="5" max="5" width="14" customWidth="1"/>
    <col min="6" max="6" width="12" customWidth="1"/>
    <col min="7" max="7" width="20" customWidth="1"/>
  </cols>
  <sheetData>
    <row r="1" spans="1:7" x14ac:dyDescent="0.3">
      <c r="A1" s="12" t="str">
        <f>"PATHWAYS  |  "&amp;About!$B$7&amp;"  "&amp;About!$B$6&amp;"  |  "&amp;About!$B$8&amp;" report"</f>
        <v>PATHWAYS  |  CLP-2025-03  Coastal Livelihoods Project  |  Midterm report</v>
      </c>
    </row>
    <row r="2" spans="1:7" ht="28.05" customHeight="1" x14ac:dyDescent="0.4">
      <c r="A2" s="13" t="str">
        <f>IF(Contents!$E$19="Yes","Annex "&amp;Contents!$A$19&amp;"   ","[Not included]   ")&amp;"Means of verification"</f>
        <v>[Not included]   Means of verification</v>
      </c>
      <c r="B2" s="3"/>
      <c r="C2" s="3"/>
      <c r="D2" s="3"/>
      <c r="E2" s="3"/>
      <c r="F2" s="3"/>
      <c r="G2" s="3"/>
    </row>
    <row r="3" spans="1:7" x14ac:dyDescent="0.3">
      <c r="A3" s="74" t="s">
        <v>282</v>
      </c>
      <c r="B3" s="73"/>
      <c r="C3" s="73"/>
      <c r="D3" s="73"/>
      <c r="E3" s="73"/>
      <c r="F3" s="73"/>
      <c r="G3" s="73"/>
    </row>
    <row r="5" spans="1:7" ht="22.05" customHeight="1" x14ac:dyDescent="0.3">
      <c r="A5" s="14" t="s">
        <v>283</v>
      </c>
      <c r="B5" s="14" t="s">
        <v>284</v>
      </c>
      <c r="C5" s="14" t="s">
        <v>129</v>
      </c>
      <c r="D5" s="14" t="s">
        <v>285</v>
      </c>
      <c r="E5" s="14" t="s">
        <v>286</v>
      </c>
      <c r="F5" s="14" t="s">
        <v>287</v>
      </c>
      <c r="G5" s="14" t="s">
        <v>288</v>
      </c>
    </row>
    <row r="6" spans="1:7" x14ac:dyDescent="0.3">
      <c r="A6" s="39" t="s">
        <v>289</v>
      </c>
      <c r="B6" s="39" t="s">
        <v>290</v>
      </c>
      <c r="C6" s="39" t="s">
        <v>291</v>
      </c>
      <c r="D6" s="39" t="s">
        <v>144</v>
      </c>
      <c r="E6" s="45">
        <v>46248</v>
      </c>
      <c r="F6" s="39" t="s">
        <v>68</v>
      </c>
      <c r="G6" s="26" t="str">
        <f>IF(F6="Yes","Listed only",IF(C6="Photo","Shown as thumbnail","Listed"))</f>
        <v>Listed</v>
      </c>
    </row>
    <row r="7" spans="1:7" x14ac:dyDescent="0.3">
      <c r="A7" s="39" t="s">
        <v>292</v>
      </c>
      <c r="B7" s="39" t="s">
        <v>293</v>
      </c>
      <c r="C7" s="39" t="s">
        <v>291</v>
      </c>
      <c r="D7" s="39" t="s">
        <v>147</v>
      </c>
      <c r="E7" s="45">
        <v>46208</v>
      </c>
      <c r="F7" s="39" t="s">
        <v>68</v>
      </c>
      <c r="G7" s="26" t="str">
        <f>IF(F7="Yes","Listed only",IF(C7="Photo","Shown as thumbnail","Listed"))</f>
        <v>Listed</v>
      </c>
    </row>
    <row r="8" spans="1:7" x14ac:dyDescent="0.3">
      <c r="A8" s="39" t="s">
        <v>294</v>
      </c>
      <c r="B8" s="39" t="s">
        <v>295</v>
      </c>
      <c r="C8" s="39" t="s">
        <v>296</v>
      </c>
      <c r="D8" s="39" t="s">
        <v>149</v>
      </c>
      <c r="E8" s="45">
        <v>46267</v>
      </c>
      <c r="F8" s="39" t="s">
        <v>68</v>
      </c>
      <c r="G8" s="26" t="str">
        <f>IF(F8="Yes","Listed only",IF(C8="Photo","Shown as thumbnail","Listed"))</f>
        <v>Shown as thumbnail</v>
      </c>
    </row>
    <row r="9" spans="1:7" x14ac:dyDescent="0.3">
      <c r="A9" s="39" t="s">
        <v>297</v>
      </c>
      <c r="B9" s="39" t="s">
        <v>298</v>
      </c>
      <c r="C9" s="39" t="s">
        <v>291</v>
      </c>
      <c r="D9" s="39" t="s">
        <v>136</v>
      </c>
      <c r="E9" s="45">
        <v>46290</v>
      </c>
      <c r="F9" s="39" t="s">
        <v>68</v>
      </c>
      <c r="G9" s="26" t="str">
        <f>IF(F9="Yes","Listed only",IF(C9="Photo","Shown as thumbnail","Listed"))</f>
        <v>Listed</v>
      </c>
    </row>
    <row r="10" spans="1:7" x14ac:dyDescent="0.3">
      <c r="A10" s="39" t="s">
        <v>299</v>
      </c>
      <c r="B10" s="39" t="s">
        <v>300</v>
      </c>
      <c r="C10" s="39" t="s">
        <v>296</v>
      </c>
      <c r="D10" s="39" t="s">
        <v>141</v>
      </c>
      <c r="E10" s="45">
        <v>46292</v>
      </c>
      <c r="F10" s="39" t="s">
        <v>52</v>
      </c>
      <c r="G10" s="26" t="str">
        <f>IF(F10="Yes","Listed only",IF(C10="Photo","Shown as thumbnail","Listed"))</f>
        <v>Listed only</v>
      </c>
    </row>
    <row r="11" spans="1:7" x14ac:dyDescent="0.3">
      <c r="A11" s="38" t="s">
        <v>301</v>
      </c>
    </row>
  </sheetData>
  <mergeCells count="1">
    <mergeCell ref="A3:G3"/>
  </mergeCells>
  <printOptions horizontalCentered="1"/>
  <pageMargins left="0.75" right="0.75" top="1" bottom="1" header="0.5" footer="0.5"/>
  <pageSetup paperSize="9" fitToHeight="0" orientation="landscape"/>
  <headerFooter>
    <oddFooter>&amp;L&amp;8 Generated by PATHWAYS&amp;R&amp;8 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DB8DA"/>
    <pageSetUpPr fitToPage="1"/>
  </sheetPr>
  <dimension ref="A1:A8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00" customWidth="1"/>
  </cols>
  <sheetData>
    <row r="1" spans="1:1" x14ac:dyDescent="0.3">
      <c r="A1" s="12" t="str">
        <f>"PATHWAYS  |  "&amp;About!$B$7&amp;"  "&amp;About!$B$6&amp;"  |  "&amp;About!$B$8&amp;" report"</f>
        <v>PATHWAYS  |  CLP-2025-03  Coastal Livelihoods Project  |  Midterm report</v>
      </c>
    </row>
    <row r="2" spans="1:1" ht="28.05" customHeight="1" x14ac:dyDescent="0.4">
      <c r="A2" s="13" t="str">
        <f>IF(Contents!$E$20="Yes","Annex "&amp;Contents!$A$20&amp;"   ","[Not included]   ")&amp;"Data tables"</f>
        <v>[Not included]   Data tables</v>
      </c>
    </row>
    <row r="3" spans="1:1" x14ac:dyDescent="0.3">
      <c r="A3" s="74" t="s">
        <v>302</v>
      </c>
    </row>
    <row r="5" spans="1:1" x14ac:dyDescent="0.3">
      <c r="A5" s="65" t="s">
        <v>303</v>
      </c>
    </row>
    <row r="6" spans="1:1" x14ac:dyDescent="0.3">
      <c r="A6" s="65" t="s">
        <v>304</v>
      </c>
    </row>
    <row r="7" spans="1:1" x14ac:dyDescent="0.3">
      <c r="A7" s="65" t="s">
        <v>305</v>
      </c>
    </row>
    <row r="8" spans="1:1" x14ac:dyDescent="0.3">
      <c r="A8" s="65" t="s">
        <v>306</v>
      </c>
    </row>
  </sheetData>
  <mergeCells count="1">
    <mergeCell ref="A3"/>
  </mergeCells>
  <printOptions horizontalCentered="1"/>
  <pageMargins left="0.75" right="0.75" top="1" bottom="1" header="0.5" footer="0.5"/>
  <pageSetup paperSize="9" fitToHeight="0" orientation="portrait"/>
  <headerFooter>
    <oddFooter>&amp;L&amp;8 Generated by PATHWAYS&amp;R&amp;8 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DB8DA"/>
    <pageSetUpPr fitToPage="1"/>
  </sheetPr>
  <dimension ref="A1:B14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26" customWidth="1"/>
    <col min="2" max="2" width="80" customWidth="1"/>
  </cols>
  <sheetData>
    <row r="1" spans="1:2" x14ac:dyDescent="0.3">
      <c r="A1" s="12" t="str">
        <f>"PATHWAYS  |  "&amp;About!$B$7&amp;"  "&amp;About!$B$6&amp;"  |  "&amp;About!$B$8&amp;" report"</f>
        <v>PATHWAYS  |  CLP-2025-03  Coastal Livelihoods Project  |  Midterm report</v>
      </c>
    </row>
    <row r="2" spans="1:2" ht="28.05" customHeight="1" x14ac:dyDescent="0.4">
      <c r="A2" s="13" t="str">
        <f>"Annex "&amp;Contents!$A$21&amp;"   Definitions and method"</f>
        <v>Annex A   Definitions and method</v>
      </c>
      <c r="B2" s="3"/>
    </row>
    <row r="3" spans="1:2" x14ac:dyDescent="0.3">
      <c r="A3" s="74" t="s">
        <v>307</v>
      </c>
      <c r="B3" s="73"/>
    </row>
    <row r="5" spans="1:2" ht="22.05" customHeight="1" x14ac:dyDescent="0.3">
      <c r="A5" s="14" t="s">
        <v>308</v>
      </c>
      <c r="B5" s="14" t="s">
        <v>309</v>
      </c>
    </row>
    <row r="6" spans="1:2" ht="26.4" x14ac:dyDescent="0.3">
      <c r="A6" s="15" t="s">
        <v>310</v>
      </c>
      <c r="B6" s="25" t="s">
        <v>311</v>
      </c>
    </row>
    <row r="7" spans="1:2" ht="26.4" x14ac:dyDescent="0.3">
      <c r="A7" s="15" t="s">
        <v>312</v>
      </c>
      <c r="B7" s="25" t="s">
        <v>313</v>
      </c>
    </row>
    <row r="8" spans="1:2" ht="26.4" x14ac:dyDescent="0.3">
      <c r="A8" s="15" t="s">
        <v>314</v>
      </c>
      <c r="B8" s="25" t="s">
        <v>315</v>
      </c>
    </row>
    <row r="9" spans="1:2" x14ac:dyDescent="0.3">
      <c r="A9" s="15" t="s">
        <v>316</v>
      </c>
      <c r="B9" s="25" t="s">
        <v>317</v>
      </c>
    </row>
    <row r="10" spans="1:2" x14ac:dyDescent="0.3">
      <c r="A10" s="15" t="s">
        <v>30</v>
      </c>
      <c r="B10" s="25" t="s">
        <v>318</v>
      </c>
    </row>
    <row r="11" spans="1:2" x14ac:dyDescent="0.3">
      <c r="A11" s="15" t="s">
        <v>134</v>
      </c>
      <c r="B11" s="25" t="s">
        <v>319</v>
      </c>
    </row>
    <row r="12" spans="1:2" x14ac:dyDescent="0.3">
      <c r="A12" s="15" t="s">
        <v>320</v>
      </c>
      <c r="B12" s="25" t="s">
        <v>321</v>
      </c>
    </row>
    <row r="13" spans="1:2" x14ac:dyDescent="0.3">
      <c r="A13" s="15" t="s">
        <v>186</v>
      </c>
      <c r="B13" s="25" t="s">
        <v>322</v>
      </c>
    </row>
    <row r="14" spans="1:2" ht="26.4" x14ac:dyDescent="0.3">
      <c r="A14" s="15" t="s">
        <v>323</v>
      </c>
      <c r="B14" s="25" t="s">
        <v>324</v>
      </c>
    </row>
  </sheetData>
  <mergeCells count="1">
    <mergeCell ref="A3:B3"/>
  </mergeCells>
  <printOptions horizontalCentered="1"/>
  <pageMargins left="0.75" right="0.75" top="1" bottom="1" header="0.5" footer="0.5"/>
  <pageSetup paperSize="9" fitToHeight="0" orientation="portrait"/>
  <headerFooter>
    <oddFooter>&amp;L&amp;8 Generated by PATHWAYS&amp;R&amp;8 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DB8DA"/>
    <pageSetUpPr fitToPage="1"/>
  </sheetPr>
  <dimension ref="A1:E8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8" customWidth="1"/>
    <col min="2" max="3" width="28" customWidth="1"/>
    <col min="4" max="4" width="16" customWidth="1"/>
    <col min="5" max="5" width="24" customWidth="1"/>
  </cols>
  <sheetData>
    <row r="1" spans="1:5" x14ac:dyDescent="0.3">
      <c r="A1" s="12" t="str">
        <f>"PATHWAYS  |  "&amp;About!$B$7&amp;"  "&amp;About!$B$6&amp;"  |  "&amp;About!$B$8&amp;" report"</f>
        <v>PATHWAYS  |  CLP-2025-03  Coastal Livelihoods Project  |  Midterm report</v>
      </c>
    </row>
    <row r="2" spans="1:5" ht="28.05" customHeight="1" x14ac:dyDescent="0.4">
      <c r="A2" s="13" t="s">
        <v>83</v>
      </c>
      <c r="B2" s="3"/>
      <c r="C2" s="3"/>
      <c r="D2" s="3"/>
      <c r="E2" s="3"/>
    </row>
    <row r="3" spans="1:5" x14ac:dyDescent="0.3">
      <c r="A3" s="74" t="s">
        <v>325</v>
      </c>
      <c r="B3" s="73"/>
      <c r="C3" s="73"/>
      <c r="D3" s="73"/>
      <c r="E3" s="73"/>
    </row>
    <row r="5" spans="1:5" ht="22.05" customHeight="1" x14ac:dyDescent="0.3">
      <c r="A5" s="14" t="s">
        <v>326</v>
      </c>
      <c r="B5" s="14" t="s">
        <v>327</v>
      </c>
      <c r="C5" s="14" t="s">
        <v>328</v>
      </c>
      <c r="D5" s="14" t="s">
        <v>286</v>
      </c>
      <c r="E5" s="14" t="s">
        <v>329</v>
      </c>
    </row>
    <row r="6" spans="1:5" ht="34.049999999999997" customHeight="1" x14ac:dyDescent="0.3">
      <c r="A6" s="25" t="s">
        <v>3</v>
      </c>
      <c r="B6" s="37"/>
      <c r="C6" s="37"/>
      <c r="D6" s="66"/>
      <c r="E6" s="37"/>
    </row>
    <row r="7" spans="1:5" ht="34.049999999999997" customHeight="1" x14ac:dyDescent="0.3">
      <c r="A7" s="25" t="s">
        <v>330</v>
      </c>
      <c r="B7" s="37"/>
      <c r="C7" s="37"/>
      <c r="D7" s="66"/>
      <c r="E7" s="37"/>
    </row>
    <row r="8" spans="1:5" ht="34.049999999999997" customHeight="1" x14ac:dyDescent="0.3">
      <c r="A8" s="25" t="s">
        <v>331</v>
      </c>
      <c r="B8" s="37"/>
      <c r="C8" s="37"/>
      <c r="D8" s="66"/>
      <c r="E8" s="37"/>
    </row>
  </sheetData>
  <mergeCells count="1">
    <mergeCell ref="A3:E3"/>
  </mergeCells>
  <printOptions horizontalCentered="1"/>
  <pageMargins left="0.75" right="0.75" top="1" bottom="1" header="0.5" footer="0.5"/>
  <pageSetup paperSize="9" fitToHeight="0" orientation="portrait"/>
  <headerFooter>
    <oddFooter>&amp;L&amp;8 Generated by PATHWAYS&amp;R&amp;8 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C9A15E"/>
    <pageSetUpPr fitToPage="1"/>
  </sheetPr>
  <dimension ref="A1:G48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34" customWidth="1"/>
    <col min="2" max="4" width="18" customWidth="1"/>
    <col min="5" max="5" width="22" customWidth="1"/>
    <col min="6" max="7" width="18" customWidth="1"/>
  </cols>
  <sheetData>
    <row r="1" spans="1:7" x14ac:dyDescent="0.3">
      <c r="A1" s="12" t="str">
        <f>"PATHWAYS  |  "&amp;About!$B$7&amp;"  "&amp;About!$B$6&amp;"  |  "&amp;About!$B$8&amp;" report"</f>
        <v>PATHWAYS  |  CLP-2025-03  Coastal Livelihoods Project  |  Midterm report</v>
      </c>
    </row>
    <row r="2" spans="1:7" ht="28.05" customHeight="1" x14ac:dyDescent="0.4">
      <c r="A2" s="13" t="s">
        <v>332</v>
      </c>
      <c r="B2" s="3"/>
      <c r="C2" s="3"/>
      <c r="D2" s="3"/>
      <c r="E2" s="3"/>
      <c r="F2" s="3"/>
      <c r="G2" s="3"/>
    </row>
    <row r="3" spans="1:7" x14ac:dyDescent="0.3">
      <c r="A3" s="74" t="s">
        <v>333</v>
      </c>
      <c r="B3" s="73"/>
      <c r="C3" s="73"/>
      <c r="D3" s="73"/>
      <c r="E3" s="73"/>
      <c r="F3" s="73"/>
      <c r="G3" s="73"/>
    </row>
    <row r="5" spans="1:7" x14ac:dyDescent="0.3">
      <c r="A5" s="28" t="s">
        <v>334</v>
      </c>
    </row>
    <row r="6" spans="1:7" ht="25.95" customHeight="1" x14ac:dyDescent="0.3">
      <c r="A6" s="67" t="s">
        <v>335</v>
      </c>
      <c r="B6" s="80" t="s">
        <v>336</v>
      </c>
      <c r="C6" s="73"/>
      <c r="D6" s="73"/>
      <c r="E6" s="73"/>
      <c r="F6" s="73"/>
      <c r="G6" s="73"/>
    </row>
    <row r="7" spans="1:7" ht="25.95" customHeight="1" x14ac:dyDescent="0.3">
      <c r="A7" s="68" t="s">
        <v>337</v>
      </c>
      <c r="B7" s="80" t="s">
        <v>338</v>
      </c>
      <c r="C7" s="73"/>
      <c r="D7" s="73"/>
      <c r="E7" s="73"/>
      <c r="F7" s="73"/>
      <c r="G7" s="73"/>
    </row>
    <row r="8" spans="1:7" ht="25.95" customHeight="1" x14ac:dyDescent="0.3">
      <c r="A8" s="69" t="s">
        <v>339</v>
      </c>
      <c r="B8" s="80" t="s">
        <v>340</v>
      </c>
      <c r="C8" s="73"/>
      <c r="D8" s="73"/>
      <c r="E8" s="73"/>
      <c r="F8" s="73"/>
      <c r="G8" s="73"/>
    </row>
    <row r="9" spans="1:7" ht="25.95" customHeight="1" x14ac:dyDescent="0.3">
      <c r="A9" s="70" t="s">
        <v>341</v>
      </c>
      <c r="B9" s="80" t="s">
        <v>342</v>
      </c>
      <c r="C9" s="73"/>
      <c r="D9" s="73"/>
      <c r="E9" s="73"/>
      <c r="F9" s="73"/>
      <c r="G9" s="73"/>
    </row>
    <row r="11" spans="1:7" x14ac:dyDescent="0.3">
      <c r="A11" s="28" t="s">
        <v>343</v>
      </c>
    </row>
    <row r="12" spans="1:7" x14ac:dyDescent="0.3">
      <c r="A12" s="65" t="s">
        <v>344</v>
      </c>
    </row>
    <row r="13" spans="1:7" x14ac:dyDescent="0.3">
      <c r="A13" s="65" t="s">
        <v>345</v>
      </c>
    </row>
    <row r="14" spans="1:7" x14ac:dyDescent="0.3">
      <c r="A14" s="65" t="s">
        <v>346</v>
      </c>
    </row>
    <row r="15" spans="1:7" x14ac:dyDescent="0.3">
      <c r="A15" s="65" t="s">
        <v>347</v>
      </c>
    </row>
    <row r="16" spans="1:7" x14ac:dyDescent="0.3">
      <c r="A16" s="65" t="s">
        <v>348</v>
      </c>
    </row>
    <row r="18" spans="1:7" x14ac:dyDescent="0.3">
      <c r="A18" s="28" t="s">
        <v>349</v>
      </c>
    </row>
    <row r="19" spans="1:7" x14ac:dyDescent="0.3">
      <c r="A19" s="11" t="s">
        <v>350</v>
      </c>
    </row>
    <row r="20" spans="1:7" ht="22.05" customHeight="1" x14ac:dyDescent="0.3">
      <c r="A20" s="14" t="s">
        <v>45</v>
      </c>
      <c r="B20" s="14" t="s">
        <v>46</v>
      </c>
      <c r="C20" s="14" t="s">
        <v>24</v>
      </c>
      <c r="D20" s="14" t="s">
        <v>351</v>
      </c>
      <c r="E20" s="14" t="s">
        <v>352</v>
      </c>
      <c r="F20" s="14" t="s">
        <v>353</v>
      </c>
      <c r="G20" s="14" t="s">
        <v>354</v>
      </c>
    </row>
    <row r="21" spans="1:7" ht="25.95" customHeight="1" x14ac:dyDescent="0.3">
      <c r="A21" s="25" t="s">
        <v>355</v>
      </c>
      <c r="B21" s="25"/>
      <c r="C21" s="71" t="s">
        <v>356</v>
      </c>
      <c r="D21" s="71" t="s">
        <v>357</v>
      </c>
      <c r="E21" s="71" t="s">
        <v>358</v>
      </c>
      <c r="F21" s="71" t="s">
        <v>359</v>
      </c>
      <c r="G21" s="71" t="s">
        <v>360</v>
      </c>
    </row>
    <row r="22" spans="1:7" x14ac:dyDescent="0.3">
      <c r="A22" s="25" t="s">
        <v>361</v>
      </c>
      <c r="B22" s="25" t="s">
        <v>55</v>
      </c>
      <c r="C22" s="71" t="s">
        <v>362</v>
      </c>
      <c r="D22" s="71" t="s">
        <v>362</v>
      </c>
      <c r="E22" s="71" t="s">
        <v>362</v>
      </c>
      <c r="F22" s="71" t="s">
        <v>362</v>
      </c>
      <c r="G22" s="71" t="s">
        <v>362</v>
      </c>
    </row>
    <row r="23" spans="1:7" x14ac:dyDescent="0.3">
      <c r="A23" s="25" t="s">
        <v>363</v>
      </c>
      <c r="B23" s="25" t="s">
        <v>57</v>
      </c>
      <c r="C23" s="71" t="s">
        <v>364</v>
      </c>
      <c r="D23" s="71" t="s">
        <v>365</v>
      </c>
      <c r="E23" s="71" t="s">
        <v>365</v>
      </c>
      <c r="F23" s="71" t="s">
        <v>364</v>
      </c>
      <c r="G23" s="71" t="s">
        <v>364</v>
      </c>
    </row>
    <row r="24" spans="1:7" x14ac:dyDescent="0.3">
      <c r="A24" s="25" t="s">
        <v>366</v>
      </c>
      <c r="B24" s="25" t="s">
        <v>59</v>
      </c>
      <c r="C24" s="71" t="s">
        <v>364</v>
      </c>
      <c r="D24" s="71" t="s">
        <v>364</v>
      </c>
      <c r="E24" s="71" t="s">
        <v>364</v>
      </c>
      <c r="F24" s="71" t="s">
        <v>364</v>
      </c>
      <c r="G24" s="71" t="s">
        <v>364</v>
      </c>
    </row>
    <row r="25" spans="1:7" x14ac:dyDescent="0.3">
      <c r="A25" s="25" t="s">
        <v>367</v>
      </c>
      <c r="B25" s="25" t="s">
        <v>61</v>
      </c>
      <c r="C25" s="71" t="s">
        <v>364</v>
      </c>
      <c r="D25" s="71" t="s">
        <v>362</v>
      </c>
      <c r="E25" s="71" t="s">
        <v>364</v>
      </c>
      <c r="F25" s="71" t="s">
        <v>364</v>
      </c>
      <c r="G25" s="71" t="s">
        <v>364</v>
      </c>
    </row>
    <row r="26" spans="1:7" x14ac:dyDescent="0.3">
      <c r="A26" s="25" t="s">
        <v>368</v>
      </c>
      <c r="B26" s="25" t="s">
        <v>63</v>
      </c>
      <c r="C26" s="71" t="s">
        <v>364</v>
      </c>
      <c r="D26" s="71" t="s">
        <v>364</v>
      </c>
      <c r="E26" s="71" t="s">
        <v>364</v>
      </c>
      <c r="F26" s="71" t="s">
        <v>364</v>
      </c>
      <c r="G26" s="71" t="s">
        <v>365</v>
      </c>
    </row>
    <row r="27" spans="1:7" x14ac:dyDescent="0.3">
      <c r="A27" s="25" t="s">
        <v>369</v>
      </c>
      <c r="B27" s="25" t="s">
        <v>65</v>
      </c>
      <c r="C27" s="71" t="s">
        <v>364</v>
      </c>
      <c r="D27" s="71" t="s">
        <v>364</v>
      </c>
      <c r="E27" s="71" t="s">
        <v>364</v>
      </c>
      <c r="F27" s="71" t="s">
        <v>364</v>
      </c>
      <c r="G27" s="71" t="s">
        <v>364</v>
      </c>
    </row>
    <row r="28" spans="1:7" x14ac:dyDescent="0.3">
      <c r="A28" s="25" t="s">
        <v>370</v>
      </c>
      <c r="B28" s="25" t="s">
        <v>67</v>
      </c>
      <c r="C28" s="71" t="s">
        <v>365</v>
      </c>
      <c r="D28" s="71" t="s">
        <v>364</v>
      </c>
      <c r="E28" s="71" t="s">
        <v>365</v>
      </c>
      <c r="F28" s="71" t="s">
        <v>364</v>
      </c>
      <c r="G28" s="71" t="s">
        <v>365</v>
      </c>
    </row>
    <row r="29" spans="1:7" x14ac:dyDescent="0.3">
      <c r="A29" s="25" t="s">
        <v>371</v>
      </c>
      <c r="B29" s="25" t="s">
        <v>70</v>
      </c>
      <c r="C29" s="71" t="s">
        <v>364</v>
      </c>
      <c r="D29" s="71" t="s">
        <v>365</v>
      </c>
      <c r="E29" s="71" t="s">
        <v>364</v>
      </c>
      <c r="F29" s="71" t="s">
        <v>364</v>
      </c>
      <c r="G29" s="71" t="s">
        <v>364</v>
      </c>
    </row>
    <row r="30" spans="1:7" x14ac:dyDescent="0.3">
      <c r="A30" s="25" t="s">
        <v>372</v>
      </c>
      <c r="B30" s="25" t="s">
        <v>72</v>
      </c>
      <c r="C30" s="71" t="s">
        <v>364</v>
      </c>
      <c r="D30" s="71" t="s">
        <v>365</v>
      </c>
      <c r="E30" s="71" t="s">
        <v>373</v>
      </c>
      <c r="F30" s="71" t="s">
        <v>362</v>
      </c>
      <c r="G30" s="71" t="s">
        <v>365</v>
      </c>
    </row>
    <row r="31" spans="1:7" x14ac:dyDescent="0.3">
      <c r="A31" s="25" t="s">
        <v>374</v>
      </c>
      <c r="B31" s="25" t="s">
        <v>74</v>
      </c>
      <c r="C31" s="71" t="s">
        <v>364</v>
      </c>
      <c r="D31" s="71" t="s">
        <v>365</v>
      </c>
      <c r="E31" s="71" t="s">
        <v>364</v>
      </c>
      <c r="F31" s="71" t="s">
        <v>365</v>
      </c>
      <c r="G31" s="71" t="s">
        <v>373</v>
      </c>
    </row>
    <row r="32" spans="1:7" x14ac:dyDescent="0.3">
      <c r="A32" s="25" t="s">
        <v>375</v>
      </c>
      <c r="B32" s="25" t="s">
        <v>76</v>
      </c>
      <c r="C32" s="71" t="s">
        <v>364</v>
      </c>
      <c r="D32" s="71" t="s">
        <v>365</v>
      </c>
      <c r="E32" s="71" t="s">
        <v>364</v>
      </c>
      <c r="F32" s="71" t="s">
        <v>364</v>
      </c>
      <c r="G32" s="71" t="s">
        <v>365</v>
      </c>
    </row>
    <row r="33" spans="1:7" x14ac:dyDescent="0.3">
      <c r="A33" s="25" t="s">
        <v>376</v>
      </c>
      <c r="B33" s="25" t="s">
        <v>78</v>
      </c>
      <c r="C33" s="71" t="s">
        <v>365</v>
      </c>
      <c r="D33" s="71" t="s">
        <v>362</v>
      </c>
      <c r="E33" s="71" t="s">
        <v>365</v>
      </c>
      <c r="F33" s="71" t="s">
        <v>364</v>
      </c>
      <c r="G33" s="71" t="s">
        <v>373</v>
      </c>
    </row>
    <row r="34" spans="1:7" x14ac:dyDescent="0.3">
      <c r="A34" s="25" t="s">
        <v>377</v>
      </c>
      <c r="B34" s="25" t="s">
        <v>80</v>
      </c>
      <c r="C34" s="71" t="s">
        <v>365</v>
      </c>
      <c r="D34" s="71" t="s">
        <v>364</v>
      </c>
      <c r="E34" s="71" t="s">
        <v>365</v>
      </c>
      <c r="F34" s="71" t="s">
        <v>364</v>
      </c>
      <c r="G34" s="71" t="s">
        <v>373</v>
      </c>
    </row>
    <row r="35" spans="1:7" ht="26.4" x14ac:dyDescent="0.3">
      <c r="A35" s="25" t="s">
        <v>378</v>
      </c>
      <c r="B35" s="25"/>
      <c r="C35" s="71" t="s">
        <v>379</v>
      </c>
      <c r="D35" s="71" t="s">
        <v>380</v>
      </c>
      <c r="E35" s="71" t="s">
        <v>380</v>
      </c>
      <c r="F35" s="71" t="s">
        <v>381</v>
      </c>
      <c r="G35" s="71" t="s">
        <v>382</v>
      </c>
    </row>
    <row r="37" spans="1:7" x14ac:dyDescent="0.3">
      <c r="A37" s="28" t="s">
        <v>383</v>
      </c>
    </row>
    <row r="38" spans="1:7" x14ac:dyDescent="0.3">
      <c r="A38" s="65" t="s">
        <v>384</v>
      </c>
    </row>
    <row r="39" spans="1:7" x14ac:dyDescent="0.3">
      <c r="A39" s="65" t="s">
        <v>385</v>
      </c>
    </row>
    <row r="40" spans="1:7" x14ac:dyDescent="0.3">
      <c r="A40" s="65" t="s">
        <v>386</v>
      </c>
    </row>
    <row r="41" spans="1:7" x14ac:dyDescent="0.3">
      <c r="A41" s="65" t="s">
        <v>387</v>
      </c>
    </row>
    <row r="42" spans="1:7" x14ac:dyDescent="0.3">
      <c r="A42" s="65" t="s">
        <v>388</v>
      </c>
    </row>
    <row r="44" spans="1:7" x14ac:dyDescent="0.3">
      <c r="A44" s="28" t="s">
        <v>389</v>
      </c>
    </row>
    <row r="45" spans="1:7" x14ac:dyDescent="0.3">
      <c r="A45" s="65" t="s">
        <v>390</v>
      </c>
    </row>
    <row r="46" spans="1:7" x14ac:dyDescent="0.3">
      <c r="A46" s="65" t="s">
        <v>391</v>
      </c>
    </row>
    <row r="47" spans="1:7" x14ac:dyDescent="0.3">
      <c r="A47" s="65" t="s">
        <v>392</v>
      </c>
    </row>
    <row r="48" spans="1:7" x14ac:dyDescent="0.3">
      <c r="A48" s="65" t="s">
        <v>393</v>
      </c>
    </row>
  </sheetData>
  <mergeCells count="5">
    <mergeCell ref="A3:G3"/>
    <mergeCell ref="B9:G9"/>
    <mergeCell ref="B8:G8"/>
    <mergeCell ref="B7:G7"/>
    <mergeCell ref="B6:G6"/>
  </mergeCells>
  <printOptions horizontalCentered="1"/>
  <pageMargins left="0.75" right="0.75" top="1" bottom="1" header="0.5" footer="0.5"/>
  <pageSetup paperSize="9" fitToHeight="0" orientation="portrait"/>
  <headerFooter>
    <oddFooter>&amp;L&amp;8 Generated by PATHWAYS&amp;R&amp;8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Cover</vt:lpstr>
      <vt:lpstr>About</vt:lpstr>
      <vt:lpstr>Contents</vt:lpstr>
      <vt:lpstr>1 Summary</vt:lpstr>
      <vt:lpstr>2 Background</vt:lpstr>
      <vt:lpstr>3 Status</vt:lpstr>
      <vt:lpstr>4 Indicators</vt:lpstr>
      <vt:lpstr>5 Activities</vt:lpstr>
      <vt:lpstr>6 Reach</vt:lpstr>
      <vt:lpstr>7 Assessment</vt:lpstr>
      <vt:lpstr>8 Budget</vt:lpstr>
      <vt:lpstr>9 Evaluation</vt:lpstr>
      <vt:lpstr>10 Risks</vt:lpstr>
      <vt:lpstr>11 Lessons</vt:lpstr>
      <vt:lpstr>A Evidence</vt:lpstr>
      <vt:lpstr>B Data tables</vt:lpstr>
      <vt:lpstr>C Definitions</vt:lpstr>
      <vt:lpstr>Sign-off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Cian Jake F. Francisco</cp:lastModifiedBy>
  <dcterms:created xsi:type="dcterms:W3CDTF">2026-10-06T16:58:32Z</dcterms:created>
  <dcterms:modified xsi:type="dcterms:W3CDTF">2026-10-06T16:58:44Z</dcterms:modified>
</cp:coreProperties>
</file>